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sen\source\repos\MohSamiee\SolveIt\SolveIt.Web\Documents\"/>
    </mc:Choice>
  </mc:AlternateContent>
  <xr:revisionPtr revIDLastSave="0" documentId="13_ncr:1_{5B6B752A-B4DE-4797-BBAF-CAAE1B1DDB4F}" xr6:coauthVersionLast="47" xr6:coauthVersionMax="47" xr10:uidLastSave="{00000000-0000-0000-0000-000000000000}"/>
  <bookViews>
    <workbookView xWindow="-120" yWindow="-120" windowWidth="29040" windowHeight="15720" activeTab="1" xr2:uid="{EAF2E72B-8F6C-45FD-8C4E-2FB4AC68DEAD}"/>
  </bookViews>
  <sheets>
    <sheet name="State.Country" sheetId="1" r:id="rId1"/>
    <sheet name="State.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M9" i="2" s="1"/>
  <c r="A10" i="2"/>
  <c r="A11" i="2"/>
  <c r="A12" i="2"/>
  <c r="M12" i="2" s="1"/>
  <c r="A13" i="2"/>
  <c r="M13" i="2" s="1"/>
  <c r="A14" i="2"/>
  <c r="M14" i="2" s="1"/>
  <c r="A15" i="2"/>
  <c r="A16" i="2"/>
  <c r="A17" i="2"/>
  <c r="A18" i="2"/>
  <c r="A19" i="2"/>
  <c r="A20" i="2"/>
  <c r="M20" i="2" s="1"/>
  <c r="A21" i="2"/>
  <c r="M21" i="2" s="1"/>
  <c r="A22" i="2"/>
  <c r="M22" i="2" s="1"/>
  <c r="A23" i="2"/>
  <c r="A24" i="2"/>
  <c r="A25" i="2"/>
  <c r="M25" i="2" s="1"/>
  <c r="A26" i="2"/>
  <c r="A27" i="2"/>
  <c r="A28" i="2"/>
  <c r="A29" i="2"/>
  <c r="A30" i="2"/>
  <c r="A31" i="2"/>
  <c r="A32" i="2"/>
  <c r="M32" i="2" s="1"/>
  <c r="A33" i="2"/>
  <c r="A34" i="2"/>
  <c r="M34" i="2" s="1"/>
  <c r="A35" i="2"/>
  <c r="M35" i="2" s="1"/>
  <c r="A36" i="2"/>
  <c r="A37" i="2"/>
  <c r="M37" i="2" s="1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M57" i="2" s="1"/>
  <c r="A58" i="2"/>
  <c r="A59" i="2"/>
  <c r="M59" i="2" s="1"/>
  <c r="A60" i="2"/>
  <c r="A61" i="2"/>
  <c r="M61" i="2" s="1"/>
  <c r="A62" i="2"/>
  <c r="A63" i="2"/>
  <c r="A64" i="2"/>
  <c r="A65" i="2"/>
  <c r="A66" i="2"/>
  <c r="A67" i="2"/>
  <c r="A68" i="2"/>
  <c r="M68" i="2" s="1"/>
  <c r="A69" i="2"/>
  <c r="A70" i="2"/>
  <c r="M70" i="2" s="1"/>
  <c r="A71" i="2"/>
  <c r="A72" i="2"/>
  <c r="A73" i="2"/>
  <c r="M73" i="2" s="1"/>
  <c r="A74" i="2"/>
  <c r="A75" i="2"/>
  <c r="M75" i="2" s="1"/>
  <c r="A76" i="2"/>
  <c r="A77" i="2"/>
  <c r="A78" i="2"/>
  <c r="A79" i="2"/>
  <c r="A80" i="2"/>
  <c r="A81" i="2"/>
  <c r="A82" i="2"/>
  <c r="M82" i="2" s="1"/>
  <c r="A83" i="2"/>
  <c r="A3" i="2"/>
  <c r="A4" i="1"/>
  <c r="A5" i="1"/>
  <c r="A6" i="1"/>
  <c r="A7" i="1"/>
  <c r="M7" i="1" s="1"/>
  <c r="A8" i="1"/>
  <c r="A9" i="1"/>
  <c r="A10" i="1"/>
  <c r="A11" i="1"/>
  <c r="M11" i="1" s="1"/>
  <c r="A12" i="1"/>
  <c r="M12" i="1" s="1"/>
  <c r="A13" i="1"/>
  <c r="M13" i="1" s="1"/>
  <c r="A14" i="1"/>
  <c r="M14" i="1" s="1"/>
  <c r="A15" i="1"/>
  <c r="M15" i="1" s="1"/>
  <c r="A16" i="1"/>
  <c r="A17" i="1"/>
  <c r="A18" i="1"/>
  <c r="A19" i="1"/>
  <c r="A20" i="1"/>
  <c r="A21" i="1"/>
  <c r="A22" i="1"/>
  <c r="A23" i="1"/>
  <c r="M23" i="1" s="1"/>
  <c r="A24" i="1"/>
  <c r="M24" i="1" s="1"/>
  <c r="A25" i="1"/>
  <c r="M25" i="1" s="1"/>
  <c r="A26" i="1"/>
  <c r="M26" i="1" s="1"/>
  <c r="A27" i="1"/>
  <c r="M27" i="1" s="1"/>
  <c r="A28" i="1"/>
  <c r="A29" i="1"/>
  <c r="A30" i="1"/>
  <c r="A31" i="1"/>
  <c r="A32" i="1"/>
  <c r="A33" i="1"/>
  <c r="A34" i="1"/>
  <c r="A35" i="1"/>
  <c r="M35" i="1" s="1"/>
  <c r="A36" i="1"/>
  <c r="M36" i="1" s="1"/>
  <c r="A37" i="1"/>
  <c r="M37" i="1" s="1"/>
  <c r="A38" i="1"/>
  <c r="M38" i="1" s="1"/>
  <c r="A39" i="1"/>
  <c r="M39" i="1" s="1"/>
  <c r="A40" i="1"/>
  <c r="A41" i="1"/>
  <c r="A42" i="1"/>
  <c r="A43" i="1"/>
  <c r="A44" i="1"/>
  <c r="A45" i="1"/>
  <c r="A46" i="1"/>
  <c r="A47" i="1"/>
  <c r="M47" i="1" s="1"/>
  <c r="A48" i="1"/>
  <c r="M48" i="1" s="1"/>
  <c r="A49" i="1"/>
  <c r="M49" i="1" s="1"/>
  <c r="A50" i="1"/>
  <c r="M50" i="1" s="1"/>
  <c r="A51" i="1"/>
  <c r="M51" i="1" s="1"/>
  <c r="A52" i="1"/>
  <c r="A53" i="1"/>
  <c r="A54" i="1"/>
  <c r="A55" i="1"/>
  <c r="A56" i="1"/>
  <c r="A57" i="1"/>
  <c r="A58" i="1"/>
  <c r="A59" i="1"/>
  <c r="A60" i="1"/>
  <c r="M60" i="1" s="1"/>
  <c r="A61" i="1"/>
  <c r="M61" i="1" s="1"/>
  <c r="A62" i="1"/>
  <c r="M62" i="1" s="1"/>
  <c r="A63" i="1"/>
  <c r="M63" i="1" s="1"/>
  <c r="A64" i="1"/>
  <c r="A65" i="1"/>
  <c r="A66" i="1"/>
  <c r="A67" i="1"/>
  <c r="A68" i="1"/>
  <c r="A69" i="1"/>
  <c r="A70" i="1"/>
  <c r="A71" i="1"/>
  <c r="A72" i="1"/>
  <c r="A73" i="1"/>
  <c r="M73" i="1" s="1"/>
  <c r="A74" i="1"/>
  <c r="M74" i="1" s="1"/>
  <c r="A75" i="1"/>
  <c r="M75" i="1" s="1"/>
  <c r="A76" i="1"/>
  <c r="A77" i="1"/>
  <c r="A78" i="1"/>
  <c r="A79" i="1"/>
  <c r="A80" i="1"/>
  <c r="A81" i="1"/>
  <c r="A82" i="1"/>
  <c r="A83" i="1"/>
  <c r="A84" i="1"/>
  <c r="A85" i="1"/>
  <c r="A86" i="1"/>
  <c r="M86" i="1" s="1"/>
  <c r="A87" i="1"/>
  <c r="M87" i="1" s="1"/>
  <c r="A88" i="1"/>
  <c r="A89" i="1"/>
  <c r="A90" i="1"/>
  <c r="A91" i="1"/>
  <c r="A92" i="1"/>
  <c r="A93" i="1"/>
  <c r="A94" i="1"/>
  <c r="A95" i="1"/>
  <c r="A96" i="1"/>
  <c r="A97" i="1"/>
  <c r="A98" i="1"/>
  <c r="A99" i="1"/>
  <c r="M99" i="1" s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3" i="1"/>
  <c r="M19" i="2"/>
  <c r="M47" i="2"/>
  <c r="M48" i="2"/>
  <c r="M50" i="2"/>
  <c r="M54" i="2"/>
  <c r="O7" i="2"/>
  <c r="O8" i="2"/>
  <c r="O10" i="2"/>
  <c r="O11" i="2"/>
  <c r="O12" i="2"/>
  <c r="O13" i="2"/>
  <c r="O14" i="2"/>
  <c r="O15" i="2"/>
  <c r="O21" i="2"/>
  <c r="O22" i="2"/>
  <c r="O23" i="2"/>
  <c r="O24" i="2"/>
  <c r="O25" i="2"/>
  <c r="O26" i="2"/>
  <c r="O27" i="2"/>
  <c r="O29" i="2"/>
  <c r="O32" i="2"/>
  <c r="O36" i="2"/>
  <c r="O37" i="2"/>
  <c r="O38" i="2"/>
  <c r="O39" i="2"/>
  <c r="O40" i="2"/>
  <c r="O43" i="2"/>
  <c r="O44" i="2"/>
  <c r="O45" i="2"/>
  <c r="O46" i="2"/>
  <c r="O47" i="2"/>
  <c r="O48" i="2"/>
  <c r="O49" i="2"/>
  <c r="O50" i="2"/>
  <c r="O51" i="2"/>
  <c r="O52" i="2"/>
  <c r="O54" i="2"/>
  <c r="O55" i="2"/>
  <c r="O56" i="2"/>
  <c r="O57" i="2"/>
  <c r="O58" i="2"/>
  <c r="O60" i="2"/>
  <c r="O61" i="2"/>
  <c r="O62" i="2"/>
  <c r="O63" i="2"/>
  <c r="O65" i="2"/>
  <c r="O66" i="2"/>
  <c r="O67" i="2"/>
  <c r="O68" i="2"/>
  <c r="O69" i="2"/>
  <c r="O70" i="2"/>
  <c r="O71" i="2"/>
  <c r="O72" i="2"/>
  <c r="O73" i="2"/>
  <c r="O74" i="2"/>
  <c r="O75" i="2"/>
  <c r="O76" i="2"/>
  <c r="O78" i="2"/>
  <c r="O79" i="2"/>
  <c r="O80" i="2"/>
  <c r="O81" i="2"/>
  <c r="O82" i="2"/>
  <c r="O83" i="2"/>
  <c r="S83" i="2"/>
  <c r="P83" i="2"/>
  <c r="N83" i="2"/>
  <c r="K83" i="2"/>
  <c r="W83" i="2" s="1"/>
  <c r="J83" i="2"/>
  <c r="V83" i="2" s="1"/>
  <c r="I83" i="2"/>
  <c r="U83" i="2" s="1"/>
  <c r="H83" i="2"/>
  <c r="T83" i="2" s="1"/>
  <c r="F83" i="2"/>
  <c r="R83" i="2" s="1"/>
  <c r="S82" i="2"/>
  <c r="P82" i="2"/>
  <c r="N82" i="2"/>
  <c r="K82" i="2"/>
  <c r="W82" i="2" s="1"/>
  <c r="J82" i="2"/>
  <c r="V82" i="2" s="1"/>
  <c r="I82" i="2"/>
  <c r="U82" i="2" s="1"/>
  <c r="H82" i="2"/>
  <c r="T82" i="2" s="1"/>
  <c r="F82" i="2"/>
  <c r="R82" i="2" s="1"/>
  <c r="T81" i="2"/>
  <c r="S81" i="2"/>
  <c r="R81" i="2"/>
  <c r="P81" i="2"/>
  <c r="N81" i="2"/>
  <c r="K81" i="2"/>
  <c r="W81" i="2" s="1"/>
  <c r="J81" i="2"/>
  <c r="V81" i="2" s="1"/>
  <c r="I81" i="2"/>
  <c r="U81" i="2" s="1"/>
  <c r="H81" i="2"/>
  <c r="F81" i="2"/>
  <c r="V80" i="2"/>
  <c r="U80" i="2"/>
  <c r="T80" i="2"/>
  <c r="S80" i="2"/>
  <c r="P80" i="2"/>
  <c r="N80" i="2"/>
  <c r="K80" i="2"/>
  <c r="W80" i="2" s="1"/>
  <c r="J80" i="2"/>
  <c r="I80" i="2"/>
  <c r="H80" i="2"/>
  <c r="F80" i="2"/>
  <c r="R80" i="2" s="1"/>
  <c r="W79" i="2"/>
  <c r="V79" i="2"/>
  <c r="S79" i="2"/>
  <c r="P79" i="2"/>
  <c r="N79" i="2"/>
  <c r="K79" i="2"/>
  <c r="J79" i="2"/>
  <c r="I79" i="2"/>
  <c r="U79" i="2" s="1"/>
  <c r="H79" i="2"/>
  <c r="T79" i="2" s="1"/>
  <c r="F79" i="2"/>
  <c r="R79" i="2" s="1"/>
  <c r="M79" i="2"/>
  <c r="W78" i="2"/>
  <c r="S78" i="2"/>
  <c r="R78" i="2"/>
  <c r="P78" i="2"/>
  <c r="N78" i="2"/>
  <c r="K78" i="2"/>
  <c r="J78" i="2"/>
  <c r="V78" i="2" s="1"/>
  <c r="I78" i="2"/>
  <c r="U78" i="2" s="1"/>
  <c r="H78" i="2"/>
  <c r="T78" i="2" s="1"/>
  <c r="F78" i="2"/>
  <c r="T77" i="2"/>
  <c r="S77" i="2"/>
  <c r="P77" i="2"/>
  <c r="N77" i="2"/>
  <c r="K77" i="2"/>
  <c r="W77" i="2" s="1"/>
  <c r="J77" i="2"/>
  <c r="V77" i="2" s="1"/>
  <c r="I77" i="2"/>
  <c r="U77" i="2" s="1"/>
  <c r="H77" i="2"/>
  <c r="F77" i="2"/>
  <c r="R77" i="2" s="1"/>
  <c r="O77" i="2"/>
  <c r="M77" i="2"/>
  <c r="S76" i="2"/>
  <c r="P76" i="2"/>
  <c r="N76" i="2"/>
  <c r="K76" i="2"/>
  <c r="W76" i="2" s="1"/>
  <c r="J76" i="2"/>
  <c r="V76" i="2" s="1"/>
  <c r="I76" i="2"/>
  <c r="U76" i="2" s="1"/>
  <c r="H76" i="2"/>
  <c r="T76" i="2" s="1"/>
  <c r="F76" i="2"/>
  <c r="R76" i="2" s="1"/>
  <c r="S75" i="2"/>
  <c r="P75" i="2"/>
  <c r="N75" i="2"/>
  <c r="K75" i="2"/>
  <c r="W75" i="2" s="1"/>
  <c r="J75" i="2"/>
  <c r="V75" i="2" s="1"/>
  <c r="I75" i="2"/>
  <c r="U75" i="2" s="1"/>
  <c r="H75" i="2"/>
  <c r="T75" i="2" s="1"/>
  <c r="F75" i="2"/>
  <c r="R75" i="2" s="1"/>
  <c r="S74" i="2"/>
  <c r="P74" i="2"/>
  <c r="N74" i="2"/>
  <c r="K74" i="2"/>
  <c r="W74" i="2" s="1"/>
  <c r="J74" i="2"/>
  <c r="V74" i="2" s="1"/>
  <c r="I74" i="2"/>
  <c r="U74" i="2" s="1"/>
  <c r="H74" i="2"/>
  <c r="T74" i="2" s="1"/>
  <c r="F74" i="2"/>
  <c r="R74" i="2" s="1"/>
  <c r="S73" i="2"/>
  <c r="P73" i="2"/>
  <c r="N73" i="2"/>
  <c r="K73" i="2"/>
  <c r="W73" i="2" s="1"/>
  <c r="J73" i="2"/>
  <c r="V73" i="2" s="1"/>
  <c r="I73" i="2"/>
  <c r="U73" i="2" s="1"/>
  <c r="H73" i="2"/>
  <c r="T73" i="2" s="1"/>
  <c r="F73" i="2"/>
  <c r="R73" i="2" s="1"/>
  <c r="S72" i="2"/>
  <c r="P72" i="2"/>
  <c r="N72" i="2"/>
  <c r="K72" i="2"/>
  <c r="W72" i="2" s="1"/>
  <c r="J72" i="2"/>
  <c r="V72" i="2" s="1"/>
  <c r="I72" i="2"/>
  <c r="U72" i="2" s="1"/>
  <c r="H72" i="2"/>
  <c r="T72" i="2" s="1"/>
  <c r="F72" i="2"/>
  <c r="R72" i="2" s="1"/>
  <c r="S71" i="2"/>
  <c r="P71" i="2"/>
  <c r="N71" i="2"/>
  <c r="K71" i="2"/>
  <c r="W71" i="2" s="1"/>
  <c r="J71" i="2"/>
  <c r="V71" i="2" s="1"/>
  <c r="I71" i="2"/>
  <c r="U71" i="2" s="1"/>
  <c r="H71" i="2"/>
  <c r="T71" i="2" s="1"/>
  <c r="F71" i="2"/>
  <c r="R71" i="2" s="1"/>
  <c r="S70" i="2"/>
  <c r="R70" i="2"/>
  <c r="P70" i="2"/>
  <c r="N70" i="2"/>
  <c r="K70" i="2"/>
  <c r="W70" i="2" s="1"/>
  <c r="J70" i="2"/>
  <c r="V70" i="2" s="1"/>
  <c r="I70" i="2"/>
  <c r="U70" i="2" s="1"/>
  <c r="H70" i="2"/>
  <c r="T70" i="2" s="1"/>
  <c r="F70" i="2"/>
  <c r="S69" i="2"/>
  <c r="P69" i="2"/>
  <c r="N69" i="2"/>
  <c r="K69" i="2"/>
  <c r="W69" i="2" s="1"/>
  <c r="J69" i="2"/>
  <c r="V69" i="2" s="1"/>
  <c r="I69" i="2"/>
  <c r="U69" i="2" s="1"/>
  <c r="H69" i="2"/>
  <c r="T69" i="2" s="1"/>
  <c r="F69" i="2"/>
  <c r="R69" i="2" s="1"/>
  <c r="S68" i="2"/>
  <c r="P68" i="2"/>
  <c r="N68" i="2"/>
  <c r="K68" i="2"/>
  <c r="W68" i="2" s="1"/>
  <c r="J68" i="2"/>
  <c r="V68" i="2" s="1"/>
  <c r="I68" i="2"/>
  <c r="U68" i="2" s="1"/>
  <c r="H68" i="2"/>
  <c r="T68" i="2" s="1"/>
  <c r="F68" i="2"/>
  <c r="R68" i="2" s="1"/>
  <c r="S67" i="2"/>
  <c r="R67" i="2"/>
  <c r="P67" i="2"/>
  <c r="N67" i="2"/>
  <c r="M67" i="2"/>
  <c r="K67" i="2"/>
  <c r="W67" i="2" s="1"/>
  <c r="J67" i="2"/>
  <c r="V67" i="2" s="1"/>
  <c r="I67" i="2"/>
  <c r="U67" i="2" s="1"/>
  <c r="H67" i="2"/>
  <c r="T67" i="2" s="1"/>
  <c r="F67" i="2"/>
  <c r="T66" i="2"/>
  <c r="S66" i="2"/>
  <c r="P66" i="2"/>
  <c r="N66" i="2"/>
  <c r="K66" i="2"/>
  <c r="W66" i="2" s="1"/>
  <c r="J66" i="2"/>
  <c r="V66" i="2" s="1"/>
  <c r="I66" i="2"/>
  <c r="U66" i="2" s="1"/>
  <c r="H66" i="2"/>
  <c r="F66" i="2"/>
  <c r="R66" i="2" s="1"/>
  <c r="S65" i="2"/>
  <c r="P65" i="2"/>
  <c r="N65" i="2"/>
  <c r="K65" i="2"/>
  <c r="W65" i="2" s="1"/>
  <c r="J65" i="2"/>
  <c r="V65" i="2" s="1"/>
  <c r="I65" i="2"/>
  <c r="U65" i="2" s="1"/>
  <c r="H65" i="2"/>
  <c r="T65" i="2" s="1"/>
  <c r="F65" i="2"/>
  <c r="R65" i="2" s="1"/>
  <c r="M65" i="2"/>
  <c r="S64" i="2"/>
  <c r="P64" i="2"/>
  <c r="O64" i="2"/>
  <c r="N64" i="2"/>
  <c r="K64" i="2"/>
  <c r="W64" i="2" s="1"/>
  <c r="J64" i="2"/>
  <c r="V64" i="2" s="1"/>
  <c r="I64" i="2"/>
  <c r="U64" i="2" s="1"/>
  <c r="H64" i="2"/>
  <c r="T64" i="2" s="1"/>
  <c r="F64" i="2"/>
  <c r="R64" i="2" s="1"/>
  <c r="S63" i="2"/>
  <c r="P63" i="2"/>
  <c r="N63" i="2"/>
  <c r="K63" i="2"/>
  <c r="W63" i="2" s="1"/>
  <c r="J63" i="2"/>
  <c r="V63" i="2" s="1"/>
  <c r="I63" i="2"/>
  <c r="U63" i="2" s="1"/>
  <c r="H63" i="2"/>
  <c r="T63" i="2" s="1"/>
  <c r="F63" i="2"/>
  <c r="R63" i="2" s="1"/>
  <c r="U62" i="2"/>
  <c r="S62" i="2"/>
  <c r="P62" i="2"/>
  <c r="N62" i="2"/>
  <c r="K62" i="2"/>
  <c r="W62" i="2" s="1"/>
  <c r="J62" i="2"/>
  <c r="V62" i="2" s="1"/>
  <c r="I62" i="2"/>
  <c r="H62" i="2"/>
  <c r="T62" i="2" s="1"/>
  <c r="F62" i="2"/>
  <c r="R62" i="2" s="1"/>
  <c r="T61" i="2"/>
  <c r="S61" i="2"/>
  <c r="P61" i="2"/>
  <c r="N61" i="2"/>
  <c r="K61" i="2"/>
  <c r="W61" i="2" s="1"/>
  <c r="J61" i="2"/>
  <c r="V61" i="2" s="1"/>
  <c r="I61" i="2"/>
  <c r="U61" i="2" s="1"/>
  <c r="H61" i="2"/>
  <c r="F61" i="2"/>
  <c r="R61" i="2" s="1"/>
  <c r="V60" i="2"/>
  <c r="U60" i="2"/>
  <c r="T60" i="2"/>
  <c r="S60" i="2"/>
  <c r="P60" i="2"/>
  <c r="N60" i="2"/>
  <c r="K60" i="2"/>
  <c r="W60" i="2" s="1"/>
  <c r="J60" i="2"/>
  <c r="I60" i="2"/>
  <c r="H60" i="2"/>
  <c r="F60" i="2"/>
  <c r="R60" i="2" s="1"/>
  <c r="V59" i="2"/>
  <c r="U59" i="2"/>
  <c r="S59" i="2"/>
  <c r="P59" i="2"/>
  <c r="O59" i="2"/>
  <c r="N59" i="2"/>
  <c r="K59" i="2"/>
  <c r="W59" i="2" s="1"/>
  <c r="J59" i="2"/>
  <c r="I59" i="2"/>
  <c r="H59" i="2"/>
  <c r="T59" i="2" s="1"/>
  <c r="F59" i="2"/>
  <c r="R59" i="2" s="1"/>
  <c r="W58" i="2"/>
  <c r="V58" i="2"/>
  <c r="S58" i="2"/>
  <c r="P58" i="2"/>
  <c r="N58" i="2"/>
  <c r="K58" i="2"/>
  <c r="J58" i="2"/>
  <c r="I58" i="2"/>
  <c r="U58" i="2" s="1"/>
  <c r="H58" i="2"/>
  <c r="T58" i="2" s="1"/>
  <c r="F58" i="2"/>
  <c r="R58" i="2" s="1"/>
  <c r="W57" i="2"/>
  <c r="S57" i="2"/>
  <c r="R57" i="2"/>
  <c r="P57" i="2"/>
  <c r="N57" i="2"/>
  <c r="K57" i="2"/>
  <c r="J57" i="2"/>
  <c r="V57" i="2" s="1"/>
  <c r="I57" i="2"/>
  <c r="U57" i="2" s="1"/>
  <c r="H57" i="2"/>
  <c r="T57" i="2" s="1"/>
  <c r="F57" i="2"/>
  <c r="S56" i="2"/>
  <c r="P56" i="2"/>
  <c r="N56" i="2"/>
  <c r="K56" i="2"/>
  <c r="W56" i="2" s="1"/>
  <c r="J56" i="2"/>
  <c r="V56" i="2" s="1"/>
  <c r="I56" i="2"/>
  <c r="U56" i="2" s="1"/>
  <c r="H56" i="2"/>
  <c r="T56" i="2" s="1"/>
  <c r="F56" i="2"/>
  <c r="R56" i="2" s="1"/>
  <c r="M56" i="2"/>
  <c r="S55" i="2"/>
  <c r="R55" i="2"/>
  <c r="P55" i="2"/>
  <c r="N55" i="2"/>
  <c r="K55" i="2"/>
  <c r="W55" i="2" s="1"/>
  <c r="J55" i="2"/>
  <c r="V55" i="2" s="1"/>
  <c r="I55" i="2"/>
  <c r="U55" i="2" s="1"/>
  <c r="H55" i="2"/>
  <c r="T55" i="2" s="1"/>
  <c r="F55" i="2"/>
  <c r="S54" i="2"/>
  <c r="P54" i="2"/>
  <c r="N54" i="2"/>
  <c r="K54" i="2"/>
  <c r="W54" i="2" s="1"/>
  <c r="J54" i="2"/>
  <c r="V54" i="2" s="1"/>
  <c r="I54" i="2"/>
  <c r="U54" i="2" s="1"/>
  <c r="H54" i="2"/>
  <c r="T54" i="2" s="1"/>
  <c r="F54" i="2"/>
  <c r="R54" i="2" s="1"/>
  <c r="S53" i="2"/>
  <c r="P53" i="2"/>
  <c r="O53" i="2"/>
  <c r="N53" i="2"/>
  <c r="K53" i="2"/>
  <c r="W53" i="2" s="1"/>
  <c r="J53" i="2"/>
  <c r="V53" i="2" s="1"/>
  <c r="I53" i="2"/>
  <c r="U53" i="2" s="1"/>
  <c r="H53" i="2"/>
  <c r="T53" i="2" s="1"/>
  <c r="F53" i="2"/>
  <c r="R53" i="2" s="1"/>
  <c r="S52" i="2"/>
  <c r="P52" i="2"/>
  <c r="N52" i="2"/>
  <c r="K52" i="2"/>
  <c r="W52" i="2" s="1"/>
  <c r="J52" i="2"/>
  <c r="V52" i="2" s="1"/>
  <c r="I52" i="2"/>
  <c r="U52" i="2" s="1"/>
  <c r="H52" i="2"/>
  <c r="T52" i="2" s="1"/>
  <c r="F52" i="2"/>
  <c r="R52" i="2" s="1"/>
  <c r="S51" i="2"/>
  <c r="P51" i="2"/>
  <c r="N51" i="2"/>
  <c r="K51" i="2"/>
  <c r="W51" i="2" s="1"/>
  <c r="J51" i="2"/>
  <c r="V51" i="2" s="1"/>
  <c r="I51" i="2"/>
  <c r="U51" i="2" s="1"/>
  <c r="H51" i="2"/>
  <c r="T51" i="2" s="1"/>
  <c r="F51" i="2"/>
  <c r="R51" i="2" s="1"/>
  <c r="W50" i="2"/>
  <c r="S50" i="2"/>
  <c r="P50" i="2"/>
  <c r="N50" i="2"/>
  <c r="K50" i="2"/>
  <c r="J50" i="2"/>
  <c r="V50" i="2" s="1"/>
  <c r="I50" i="2"/>
  <c r="U50" i="2" s="1"/>
  <c r="H50" i="2"/>
  <c r="T50" i="2" s="1"/>
  <c r="F50" i="2"/>
  <c r="R50" i="2" s="1"/>
  <c r="S49" i="2"/>
  <c r="P49" i="2"/>
  <c r="N49" i="2"/>
  <c r="K49" i="2"/>
  <c r="W49" i="2" s="1"/>
  <c r="J49" i="2"/>
  <c r="V49" i="2" s="1"/>
  <c r="I49" i="2"/>
  <c r="U49" i="2" s="1"/>
  <c r="H49" i="2"/>
  <c r="T49" i="2" s="1"/>
  <c r="F49" i="2"/>
  <c r="R49" i="2" s="1"/>
  <c r="M49" i="2"/>
  <c r="S48" i="2"/>
  <c r="P48" i="2"/>
  <c r="N48" i="2"/>
  <c r="K48" i="2"/>
  <c r="W48" i="2" s="1"/>
  <c r="J48" i="2"/>
  <c r="V48" i="2" s="1"/>
  <c r="I48" i="2"/>
  <c r="U48" i="2" s="1"/>
  <c r="H48" i="2"/>
  <c r="T48" i="2" s="1"/>
  <c r="F48" i="2"/>
  <c r="R48" i="2" s="1"/>
  <c r="S47" i="2"/>
  <c r="P47" i="2"/>
  <c r="N47" i="2"/>
  <c r="K47" i="2"/>
  <c r="W47" i="2" s="1"/>
  <c r="J47" i="2"/>
  <c r="V47" i="2" s="1"/>
  <c r="I47" i="2"/>
  <c r="U47" i="2" s="1"/>
  <c r="H47" i="2"/>
  <c r="T47" i="2" s="1"/>
  <c r="F47" i="2"/>
  <c r="R47" i="2" s="1"/>
  <c r="W46" i="2"/>
  <c r="S46" i="2"/>
  <c r="P46" i="2"/>
  <c r="N46" i="2"/>
  <c r="K46" i="2"/>
  <c r="J46" i="2"/>
  <c r="V46" i="2" s="1"/>
  <c r="I46" i="2"/>
  <c r="U46" i="2" s="1"/>
  <c r="H46" i="2"/>
  <c r="T46" i="2" s="1"/>
  <c r="F46" i="2"/>
  <c r="R46" i="2" s="1"/>
  <c r="W45" i="2"/>
  <c r="V45" i="2"/>
  <c r="T45" i="2"/>
  <c r="S45" i="2"/>
  <c r="P45" i="2"/>
  <c r="N45" i="2"/>
  <c r="K45" i="2"/>
  <c r="J45" i="2"/>
  <c r="I45" i="2"/>
  <c r="U45" i="2" s="1"/>
  <c r="H45" i="2"/>
  <c r="F45" i="2"/>
  <c r="R45" i="2" s="1"/>
  <c r="V44" i="2"/>
  <c r="U44" i="2"/>
  <c r="S44" i="2"/>
  <c r="P44" i="2"/>
  <c r="N44" i="2"/>
  <c r="K44" i="2"/>
  <c r="W44" i="2" s="1"/>
  <c r="J44" i="2"/>
  <c r="I44" i="2"/>
  <c r="H44" i="2"/>
  <c r="T44" i="2" s="1"/>
  <c r="F44" i="2"/>
  <c r="R44" i="2" s="1"/>
  <c r="M44" i="2"/>
  <c r="U43" i="2"/>
  <c r="S43" i="2"/>
  <c r="P43" i="2"/>
  <c r="N43" i="2"/>
  <c r="K43" i="2"/>
  <c r="W43" i="2" s="1"/>
  <c r="J43" i="2"/>
  <c r="V43" i="2" s="1"/>
  <c r="I43" i="2"/>
  <c r="H43" i="2"/>
  <c r="T43" i="2" s="1"/>
  <c r="F43" i="2"/>
  <c r="R43" i="2" s="1"/>
  <c r="M43" i="2"/>
  <c r="S42" i="2"/>
  <c r="R42" i="2"/>
  <c r="P42" i="2"/>
  <c r="N42" i="2"/>
  <c r="K42" i="2"/>
  <c r="W42" i="2" s="1"/>
  <c r="J42" i="2"/>
  <c r="V42" i="2" s="1"/>
  <c r="I42" i="2"/>
  <c r="U42" i="2" s="1"/>
  <c r="H42" i="2"/>
  <c r="T42" i="2" s="1"/>
  <c r="F42" i="2"/>
  <c r="O42" i="2"/>
  <c r="M42" i="2"/>
  <c r="V41" i="2"/>
  <c r="T41" i="2"/>
  <c r="S41" i="2"/>
  <c r="P41" i="2"/>
  <c r="N41" i="2"/>
  <c r="K41" i="2"/>
  <c r="W41" i="2" s="1"/>
  <c r="J41" i="2"/>
  <c r="I41" i="2"/>
  <c r="U41" i="2" s="1"/>
  <c r="H41" i="2"/>
  <c r="F41" i="2"/>
  <c r="R41" i="2" s="1"/>
  <c r="O41" i="2"/>
  <c r="M41" i="2"/>
  <c r="V40" i="2"/>
  <c r="U40" i="2"/>
  <c r="S40" i="2"/>
  <c r="P40" i="2"/>
  <c r="N40" i="2"/>
  <c r="K40" i="2"/>
  <c r="W40" i="2" s="1"/>
  <c r="J40" i="2"/>
  <c r="I40" i="2"/>
  <c r="H40" i="2"/>
  <c r="T40" i="2" s="1"/>
  <c r="F40" i="2"/>
  <c r="R40" i="2" s="1"/>
  <c r="M40" i="2"/>
  <c r="S39" i="2"/>
  <c r="P39" i="2"/>
  <c r="N39" i="2"/>
  <c r="K39" i="2"/>
  <c r="W39" i="2" s="1"/>
  <c r="J39" i="2"/>
  <c r="V39" i="2" s="1"/>
  <c r="I39" i="2"/>
  <c r="U39" i="2" s="1"/>
  <c r="H39" i="2"/>
  <c r="T39" i="2" s="1"/>
  <c r="F39" i="2"/>
  <c r="R39" i="2" s="1"/>
  <c r="S38" i="2"/>
  <c r="P38" i="2"/>
  <c r="N38" i="2"/>
  <c r="K38" i="2"/>
  <c r="W38" i="2" s="1"/>
  <c r="J38" i="2"/>
  <c r="V38" i="2" s="1"/>
  <c r="I38" i="2"/>
  <c r="U38" i="2" s="1"/>
  <c r="H38" i="2"/>
  <c r="T38" i="2" s="1"/>
  <c r="F38" i="2"/>
  <c r="R38" i="2" s="1"/>
  <c r="M38" i="2"/>
  <c r="S37" i="2"/>
  <c r="P37" i="2"/>
  <c r="N37" i="2"/>
  <c r="K37" i="2"/>
  <c r="W37" i="2" s="1"/>
  <c r="J37" i="2"/>
  <c r="V37" i="2" s="1"/>
  <c r="I37" i="2"/>
  <c r="U37" i="2" s="1"/>
  <c r="H37" i="2"/>
  <c r="T37" i="2" s="1"/>
  <c r="F37" i="2"/>
  <c r="R37" i="2" s="1"/>
  <c r="S36" i="2"/>
  <c r="P36" i="2"/>
  <c r="N36" i="2"/>
  <c r="K36" i="2"/>
  <c r="W36" i="2" s="1"/>
  <c r="J36" i="2"/>
  <c r="V36" i="2" s="1"/>
  <c r="I36" i="2"/>
  <c r="U36" i="2" s="1"/>
  <c r="H36" i="2"/>
  <c r="T36" i="2" s="1"/>
  <c r="F36" i="2"/>
  <c r="R36" i="2" s="1"/>
  <c r="S35" i="2"/>
  <c r="P35" i="2"/>
  <c r="O35" i="2"/>
  <c r="N35" i="2"/>
  <c r="K35" i="2"/>
  <c r="W35" i="2" s="1"/>
  <c r="J35" i="2"/>
  <c r="V35" i="2" s="1"/>
  <c r="I35" i="2"/>
  <c r="U35" i="2" s="1"/>
  <c r="H35" i="2"/>
  <c r="T35" i="2" s="1"/>
  <c r="F35" i="2"/>
  <c r="R35" i="2" s="1"/>
  <c r="S34" i="2"/>
  <c r="P34" i="2"/>
  <c r="N34" i="2"/>
  <c r="K34" i="2"/>
  <c r="W34" i="2" s="1"/>
  <c r="J34" i="2"/>
  <c r="V34" i="2" s="1"/>
  <c r="I34" i="2"/>
  <c r="U34" i="2" s="1"/>
  <c r="H34" i="2"/>
  <c r="T34" i="2" s="1"/>
  <c r="F34" i="2"/>
  <c r="R34" i="2" s="1"/>
  <c r="O34" i="2"/>
  <c r="S33" i="2"/>
  <c r="P33" i="2"/>
  <c r="N33" i="2"/>
  <c r="K33" i="2"/>
  <c r="W33" i="2" s="1"/>
  <c r="J33" i="2"/>
  <c r="V33" i="2" s="1"/>
  <c r="I33" i="2"/>
  <c r="U33" i="2" s="1"/>
  <c r="H33" i="2"/>
  <c r="T33" i="2" s="1"/>
  <c r="F33" i="2"/>
  <c r="R33" i="2" s="1"/>
  <c r="O33" i="2"/>
  <c r="S32" i="2"/>
  <c r="P32" i="2"/>
  <c r="N32" i="2"/>
  <c r="K32" i="2"/>
  <c r="W32" i="2" s="1"/>
  <c r="J32" i="2"/>
  <c r="V32" i="2" s="1"/>
  <c r="I32" i="2"/>
  <c r="U32" i="2" s="1"/>
  <c r="H32" i="2"/>
  <c r="T32" i="2" s="1"/>
  <c r="F32" i="2"/>
  <c r="R32" i="2" s="1"/>
  <c r="S31" i="2"/>
  <c r="R31" i="2"/>
  <c r="P31" i="2"/>
  <c r="O31" i="2"/>
  <c r="N31" i="2"/>
  <c r="K31" i="2"/>
  <c r="W31" i="2" s="1"/>
  <c r="J31" i="2"/>
  <c r="V31" i="2" s="1"/>
  <c r="I31" i="2"/>
  <c r="U31" i="2" s="1"/>
  <c r="H31" i="2"/>
  <c r="T31" i="2" s="1"/>
  <c r="F31" i="2"/>
  <c r="S30" i="2"/>
  <c r="P30" i="2"/>
  <c r="N30" i="2"/>
  <c r="K30" i="2"/>
  <c r="W30" i="2" s="1"/>
  <c r="J30" i="2"/>
  <c r="V30" i="2" s="1"/>
  <c r="I30" i="2"/>
  <c r="U30" i="2" s="1"/>
  <c r="H30" i="2"/>
  <c r="T30" i="2" s="1"/>
  <c r="F30" i="2"/>
  <c r="R30" i="2" s="1"/>
  <c r="O30" i="2"/>
  <c r="M30" i="2"/>
  <c r="S29" i="2"/>
  <c r="P29" i="2"/>
  <c r="N29" i="2"/>
  <c r="K29" i="2"/>
  <c r="W29" i="2" s="1"/>
  <c r="J29" i="2"/>
  <c r="V29" i="2" s="1"/>
  <c r="I29" i="2"/>
  <c r="U29" i="2" s="1"/>
  <c r="H29" i="2"/>
  <c r="T29" i="2" s="1"/>
  <c r="F29" i="2"/>
  <c r="R29" i="2" s="1"/>
  <c r="S28" i="2"/>
  <c r="P28" i="2"/>
  <c r="O28" i="2"/>
  <c r="N28" i="2"/>
  <c r="K28" i="2"/>
  <c r="W28" i="2" s="1"/>
  <c r="J28" i="2"/>
  <c r="V28" i="2" s="1"/>
  <c r="I28" i="2"/>
  <c r="U28" i="2" s="1"/>
  <c r="H28" i="2"/>
  <c r="T28" i="2" s="1"/>
  <c r="F28" i="2"/>
  <c r="R28" i="2" s="1"/>
  <c r="S27" i="2"/>
  <c r="P27" i="2"/>
  <c r="N27" i="2"/>
  <c r="K27" i="2"/>
  <c r="W27" i="2" s="1"/>
  <c r="J27" i="2"/>
  <c r="V27" i="2" s="1"/>
  <c r="I27" i="2"/>
  <c r="U27" i="2" s="1"/>
  <c r="H27" i="2"/>
  <c r="T27" i="2" s="1"/>
  <c r="F27" i="2"/>
  <c r="R27" i="2" s="1"/>
  <c r="S26" i="2"/>
  <c r="P26" i="2"/>
  <c r="N26" i="2"/>
  <c r="K26" i="2"/>
  <c r="W26" i="2" s="1"/>
  <c r="J26" i="2"/>
  <c r="V26" i="2" s="1"/>
  <c r="I26" i="2"/>
  <c r="U26" i="2" s="1"/>
  <c r="H26" i="2"/>
  <c r="T26" i="2" s="1"/>
  <c r="F26" i="2"/>
  <c r="R26" i="2" s="1"/>
  <c r="T25" i="2"/>
  <c r="S25" i="2"/>
  <c r="P25" i="2"/>
  <c r="N25" i="2"/>
  <c r="K25" i="2"/>
  <c r="W25" i="2" s="1"/>
  <c r="J25" i="2"/>
  <c r="V25" i="2" s="1"/>
  <c r="I25" i="2"/>
  <c r="U25" i="2" s="1"/>
  <c r="H25" i="2"/>
  <c r="F25" i="2"/>
  <c r="R25" i="2" s="1"/>
  <c r="S24" i="2"/>
  <c r="P24" i="2"/>
  <c r="N24" i="2"/>
  <c r="K24" i="2"/>
  <c r="W24" i="2" s="1"/>
  <c r="J24" i="2"/>
  <c r="V24" i="2" s="1"/>
  <c r="I24" i="2"/>
  <c r="U24" i="2" s="1"/>
  <c r="H24" i="2"/>
  <c r="T24" i="2" s="1"/>
  <c r="F24" i="2"/>
  <c r="R24" i="2" s="1"/>
  <c r="S23" i="2"/>
  <c r="P23" i="2"/>
  <c r="N23" i="2"/>
  <c r="K23" i="2"/>
  <c r="W23" i="2" s="1"/>
  <c r="J23" i="2"/>
  <c r="V23" i="2" s="1"/>
  <c r="I23" i="2"/>
  <c r="U23" i="2" s="1"/>
  <c r="H23" i="2"/>
  <c r="T23" i="2" s="1"/>
  <c r="F23" i="2"/>
  <c r="R23" i="2" s="1"/>
  <c r="S22" i="2"/>
  <c r="R22" i="2"/>
  <c r="P22" i="2"/>
  <c r="N22" i="2"/>
  <c r="K22" i="2"/>
  <c r="W22" i="2" s="1"/>
  <c r="J22" i="2"/>
  <c r="V22" i="2" s="1"/>
  <c r="I22" i="2"/>
  <c r="U22" i="2" s="1"/>
  <c r="H22" i="2"/>
  <c r="T22" i="2" s="1"/>
  <c r="F22" i="2"/>
  <c r="S21" i="2"/>
  <c r="P21" i="2"/>
  <c r="N21" i="2"/>
  <c r="K21" i="2"/>
  <c r="W21" i="2" s="1"/>
  <c r="J21" i="2"/>
  <c r="V21" i="2" s="1"/>
  <c r="I21" i="2"/>
  <c r="U21" i="2" s="1"/>
  <c r="H21" i="2"/>
  <c r="T21" i="2" s="1"/>
  <c r="F21" i="2"/>
  <c r="R21" i="2" s="1"/>
  <c r="S20" i="2"/>
  <c r="P20" i="2"/>
  <c r="O20" i="2"/>
  <c r="N20" i="2"/>
  <c r="K20" i="2"/>
  <c r="W20" i="2" s="1"/>
  <c r="J20" i="2"/>
  <c r="V20" i="2" s="1"/>
  <c r="I20" i="2"/>
  <c r="U20" i="2" s="1"/>
  <c r="H20" i="2"/>
  <c r="T20" i="2" s="1"/>
  <c r="F20" i="2"/>
  <c r="R20" i="2" s="1"/>
  <c r="S19" i="2"/>
  <c r="R19" i="2"/>
  <c r="P19" i="2"/>
  <c r="O19" i="2"/>
  <c r="N19" i="2"/>
  <c r="K19" i="2"/>
  <c r="W19" i="2" s="1"/>
  <c r="J19" i="2"/>
  <c r="V19" i="2" s="1"/>
  <c r="I19" i="2"/>
  <c r="U19" i="2" s="1"/>
  <c r="H19" i="2"/>
  <c r="T19" i="2" s="1"/>
  <c r="F19" i="2"/>
  <c r="S18" i="2"/>
  <c r="P18" i="2"/>
  <c r="N18" i="2"/>
  <c r="K18" i="2"/>
  <c r="W18" i="2" s="1"/>
  <c r="J18" i="2"/>
  <c r="V18" i="2" s="1"/>
  <c r="I18" i="2"/>
  <c r="U18" i="2" s="1"/>
  <c r="H18" i="2"/>
  <c r="T18" i="2" s="1"/>
  <c r="F18" i="2"/>
  <c r="R18" i="2" s="1"/>
  <c r="O18" i="2"/>
  <c r="M18" i="2"/>
  <c r="S17" i="2"/>
  <c r="P17" i="2"/>
  <c r="O17" i="2"/>
  <c r="N17" i="2"/>
  <c r="K17" i="2"/>
  <c r="W17" i="2" s="1"/>
  <c r="J17" i="2"/>
  <c r="V17" i="2" s="1"/>
  <c r="I17" i="2"/>
  <c r="U17" i="2" s="1"/>
  <c r="H17" i="2"/>
  <c r="T17" i="2" s="1"/>
  <c r="F17" i="2"/>
  <c r="R17" i="2" s="1"/>
  <c r="M17" i="2"/>
  <c r="S16" i="2"/>
  <c r="P16" i="2"/>
  <c r="O16" i="2"/>
  <c r="N16" i="2"/>
  <c r="K16" i="2"/>
  <c r="W16" i="2" s="1"/>
  <c r="J16" i="2"/>
  <c r="V16" i="2" s="1"/>
  <c r="I16" i="2"/>
  <c r="U16" i="2" s="1"/>
  <c r="H16" i="2"/>
  <c r="T16" i="2" s="1"/>
  <c r="F16" i="2"/>
  <c r="R16" i="2" s="1"/>
  <c r="M16" i="2"/>
  <c r="S15" i="2"/>
  <c r="P15" i="2"/>
  <c r="N15" i="2"/>
  <c r="K15" i="2"/>
  <c r="W15" i="2" s="1"/>
  <c r="J15" i="2"/>
  <c r="V15" i="2" s="1"/>
  <c r="I15" i="2"/>
  <c r="U15" i="2" s="1"/>
  <c r="H15" i="2"/>
  <c r="T15" i="2" s="1"/>
  <c r="F15" i="2"/>
  <c r="R15" i="2" s="1"/>
  <c r="S14" i="2"/>
  <c r="P14" i="2"/>
  <c r="N14" i="2"/>
  <c r="K14" i="2"/>
  <c r="W14" i="2" s="1"/>
  <c r="J14" i="2"/>
  <c r="V14" i="2" s="1"/>
  <c r="I14" i="2"/>
  <c r="U14" i="2" s="1"/>
  <c r="H14" i="2"/>
  <c r="T14" i="2" s="1"/>
  <c r="F14" i="2"/>
  <c r="R14" i="2" s="1"/>
  <c r="S13" i="2"/>
  <c r="P13" i="2"/>
  <c r="N13" i="2"/>
  <c r="K13" i="2"/>
  <c r="W13" i="2" s="1"/>
  <c r="J13" i="2"/>
  <c r="V13" i="2" s="1"/>
  <c r="I13" i="2"/>
  <c r="U13" i="2" s="1"/>
  <c r="H13" i="2"/>
  <c r="T13" i="2" s="1"/>
  <c r="F13" i="2"/>
  <c r="R13" i="2" s="1"/>
  <c r="S12" i="2"/>
  <c r="P12" i="2"/>
  <c r="N12" i="2"/>
  <c r="K12" i="2"/>
  <c r="W12" i="2" s="1"/>
  <c r="J12" i="2"/>
  <c r="V12" i="2" s="1"/>
  <c r="I12" i="2"/>
  <c r="U12" i="2" s="1"/>
  <c r="H12" i="2"/>
  <c r="T12" i="2" s="1"/>
  <c r="F12" i="2"/>
  <c r="R12" i="2" s="1"/>
  <c r="S11" i="2"/>
  <c r="P11" i="2"/>
  <c r="N11" i="2"/>
  <c r="K11" i="2"/>
  <c r="W11" i="2" s="1"/>
  <c r="J11" i="2"/>
  <c r="V11" i="2" s="1"/>
  <c r="I11" i="2"/>
  <c r="U11" i="2" s="1"/>
  <c r="H11" i="2"/>
  <c r="T11" i="2" s="1"/>
  <c r="F11" i="2"/>
  <c r="R11" i="2" s="1"/>
  <c r="S10" i="2"/>
  <c r="P10" i="2"/>
  <c r="N10" i="2"/>
  <c r="K10" i="2"/>
  <c r="W10" i="2" s="1"/>
  <c r="J10" i="2"/>
  <c r="V10" i="2" s="1"/>
  <c r="I10" i="2"/>
  <c r="U10" i="2" s="1"/>
  <c r="H10" i="2"/>
  <c r="T10" i="2" s="1"/>
  <c r="F10" i="2"/>
  <c r="R10" i="2" s="1"/>
  <c r="W9" i="2"/>
  <c r="S9" i="2"/>
  <c r="P9" i="2"/>
  <c r="O9" i="2"/>
  <c r="N9" i="2"/>
  <c r="K9" i="2"/>
  <c r="J9" i="2"/>
  <c r="V9" i="2" s="1"/>
  <c r="I9" i="2"/>
  <c r="U9" i="2" s="1"/>
  <c r="H9" i="2"/>
  <c r="T9" i="2" s="1"/>
  <c r="F9" i="2"/>
  <c r="R9" i="2" s="1"/>
  <c r="S8" i="2"/>
  <c r="P8" i="2"/>
  <c r="N8" i="2"/>
  <c r="K8" i="2"/>
  <c r="W8" i="2" s="1"/>
  <c r="J8" i="2"/>
  <c r="V8" i="2" s="1"/>
  <c r="I8" i="2"/>
  <c r="U8" i="2" s="1"/>
  <c r="H8" i="2"/>
  <c r="T8" i="2" s="1"/>
  <c r="F8" i="2"/>
  <c r="R8" i="2" s="1"/>
  <c r="S7" i="2"/>
  <c r="P7" i="2"/>
  <c r="N7" i="2"/>
  <c r="K7" i="2"/>
  <c r="W7" i="2" s="1"/>
  <c r="J7" i="2"/>
  <c r="V7" i="2" s="1"/>
  <c r="I7" i="2"/>
  <c r="U7" i="2" s="1"/>
  <c r="H7" i="2"/>
  <c r="T7" i="2" s="1"/>
  <c r="F7" i="2"/>
  <c r="R7" i="2" s="1"/>
  <c r="S6" i="2"/>
  <c r="P6" i="2"/>
  <c r="N6" i="2"/>
  <c r="K6" i="2"/>
  <c r="W6" i="2" s="1"/>
  <c r="J6" i="2"/>
  <c r="V6" i="2" s="1"/>
  <c r="I6" i="2"/>
  <c r="U6" i="2" s="1"/>
  <c r="H6" i="2"/>
  <c r="T6" i="2" s="1"/>
  <c r="F6" i="2"/>
  <c r="R6" i="2" s="1"/>
  <c r="O6" i="2"/>
  <c r="M6" i="2"/>
  <c r="S5" i="2"/>
  <c r="P5" i="2"/>
  <c r="N5" i="2"/>
  <c r="K5" i="2"/>
  <c r="W5" i="2" s="1"/>
  <c r="J5" i="2"/>
  <c r="V5" i="2" s="1"/>
  <c r="I5" i="2"/>
  <c r="U5" i="2" s="1"/>
  <c r="H5" i="2"/>
  <c r="T5" i="2" s="1"/>
  <c r="F5" i="2"/>
  <c r="R5" i="2" s="1"/>
  <c r="O5" i="2"/>
  <c r="S4" i="2"/>
  <c r="P4" i="2"/>
  <c r="O4" i="2"/>
  <c r="N4" i="2"/>
  <c r="K4" i="2"/>
  <c r="W4" i="2" s="1"/>
  <c r="J4" i="2"/>
  <c r="V4" i="2" s="1"/>
  <c r="I4" i="2"/>
  <c r="U4" i="2" s="1"/>
  <c r="H4" i="2"/>
  <c r="T4" i="2" s="1"/>
  <c r="F4" i="2"/>
  <c r="R4" i="2" s="1"/>
  <c r="S3" i="2"/>
  <c r="P3" i="2"/>
  <c r="O3" i="2"/>
  <c r="N3" i="2"/>
  <c r="K3" i="2"/>
  <c r="W3" i="2" s="1"/>
  <c r="J3" i="2"/>
  <c r="V3" i="2" s="1"/>
  <c r="I3" i="2"/>
  <c r="U3" i="2" s="1"/>
  <c r="H3" i="2"/>
  <c r="T3" i="2" s="1"/>
  <c r="F3" i="2"/>
  <c r="R3" i="2" s="1"/>
  <c r="M3" i="2"/>
  <c r="B1" i="2"/>
  <c r="C1" i="2" s="1"/>
  <c r="B1" i="1"/>
  <c r="M102" i="1"/>
  <c r="M90" i="1"/>
  <c r="M78" i="1"/>
  <c r="M66" i="1"/>
  <c r="M55" i="1"/>
  <c r="M6" i="1"/>
  <c r="N4" i="1"/>
  <c r="P4" i="1"/>
  <c r="S4" i="1"/>
  <c r="N5" i="1"/>
  <c r="P5" i="1"/>
  <c r="S5" i="1"/>
  <c r="N6" i="1"/>
  <c r="P6" i="1"/>
  <c r="S6" i="1"/>
  <c r="N7" i="1"/>
  <c r="P7" i="1"/>
  <c r="S7" i="1"/>
  <c r="N8" i="1"/>
  <c r="P8" i="1"/>
  <c r="S8" i="1"/>
  <c r="N9" i="1"/>
  <c r="P9" i="1"/>
  <c r="S9" i="1"/>
  <c r="N10" i="1"/>
  <c r="P10" i="1"/>
  <c r="S10" i="1"/>
  <c r="N11" i="1"/>
  <c r="P11" i="1"/>
  <c r="S11" i="1"/>
  <c r="N12" i="1"/>
  <c r="P12" i="1"/>
  <c r="S12" i="1"/>
  <c r="N13" i="1"/>
  <c r="P13" i="1"/>
  <c r="S13" i="1"/>
  <c r="N14" i="1"/>
  <c r="P14" i="1"/>
  <c r="S14" i="1"/>
  <c r="N15" i="1"/>
  <c r="P15" i="1"/>
  <c r="S15" i="1"/>
  <c r="N16" i="1"/>
  <c r="P16" i="1"/>
  <c r="S16" i="1"/>
  <c r="N17" i="1"/>
  <c r="P17" i="1"/>
  <c r="S17" i="1"/>
  <c r="N18" i="1"/>
  <c r="P18" i="1"/>
  <c r="S18" i="1"/>
  <c r="N19" i="1"/>
  <c r="P19" i="1"/>
  <c r="S19" i="1"/>
  <c r="N20" i="1"/>
  <c r="P20" i="1"/>
  <c r="S20" i="1"/>
  <c r="N21" i="1"/>
  <c r="P21" i="1"/>
  <c r="S21" i="1"/>
  <c r="N22" i="1"/>
  <c r="P22" i="1"/>
  <c r="S22" i="1"/>
  <c r="N23" i="1"/>
  <c r="P23" i="1"/>
  <c r="S23" i="1"/>
  <c r="N24" i="1"/>
  <c r="P24" i="1"/>
  <c r="S24" i="1"/>
  <c r="N25" i="1"/>
  <c r="P25" i="1"/>
  <c r="S25" i="1"/>
  <c r="N26" i="1"/>
  <c r="P26" i="1"/>
  <c r="S26" i="1"/>
  <c r="N27" i="1"/>
  <c r="P27" i="1"/>
  <c r="S27" i="1"/>
  <c r="N28" i="1"/>
  <c r="P28" i="1"/>
  <c r="S28" i="1"/>
  <c r="N29" i="1"/>
  <c r="P29" i="1"/>
  <c r="S29" i="1"/>
  <c r="N30" i="1"/>
  <c r="P30" i="1"/>
  <c r="S30" i="1"/>
  <c r="N31" i="1"/>
  <c r="P31" i="1"/>
  <c r="S31" i="1"/>
  <c r="N32" i="1"/>
  <c r="P32" i="1"/>
  <c r="S32" i="1"/>
  <c r="N33" i="1"/>
  <c r="P33" i="1"/>
  <c r="S33" i="1"/>
  <c r="N34" i="1"/>
  <c r="P34" i="1"/>
  <c r="S34" i="1"/>
  <c r="N35" i="1"/>
  <c r="P35" i="1"/>
  <c r="S35" i="1"/>
  <c r="N36" i="1"/>
  <c r="P36" i="1"/>
  <c r="S36" i="1"/>
  <c r="N37" i="1"/>
  <c r="P37" i="1"/>
  <c r="S37" i="1"/>
  <c r="N38" i="1"/>
  <c r="P38" i="1"/>
  <c r="S38" i="1"/>
  <c r="N39" i="1"/>
  <c r="P39" i="1"/>
  <c r="S39" i="1"/>
  <c r="N40" i="1"/>
  <c r="P40" i="1"/>
  <c r="S40" i="1"/>
  <c r="N41" i="1"/>
  <c r="P41" i="1"/>
  <c r="S41" i="1"/>
  <c r="N42" i="1"/>
  <c r="P42" i="1"/>
  <c r="S42" i="1"/>
  <c r="N43" i="1"/>
  <c r="P43" i="1"/>
  <c r="S43" i="1"/>
  <c r="N44" i="1"/>
  <c r="P44" i="1"/>
  <c r="S44" i="1"/>
  <c r="N45" i="1"/>
  <c r="P45" i="1"/>
  <c r="S45" i="1"/>
  <c r="N46" i="1"/>
  <c r="P46" i="1"/>
  <c r="S46" i="1"/>
  <c r="N47" i="1"/>
  <c r="P47" i="1"/>
  <c r="S47" i="1"/>
  <c r="N48" i="1"/>
  <c r="P48" i="1"/>
  <c r="S48" i="1"/>
  <c r="N49" i="1"/>
  <c r="P49" i="1"/>
  <c r="S49" i="1"/>
  <c r="N50" i="1"/>
  <c r="P50" i="1"/>
  <c r="S50" i="1"/>
  <c r="N51" i="1"/>
  <c r="P51" i="1"/>
  <c r="S51" i="1"/>
  <c r="N52" i="1"/>
  <c r="P52" i="1"/>
  <c r="S52" i="1"/>
  <c r="N53" i="1"/>
  <c r="P53" i="1"/>
  <c r="S53" i="1"/>
  <c r="N54" i="1"/>
  <c r="P54" i="1"/>
  <c r="S54" i="1"/>
  <c r="N55" i="1"/>
  <c r="P55" i="1"/>
  <c r="S55" i="1"/>
  <c r="N56" i="1"/>
  <c r="P56" i="1"/>
  <c r="S56" i="1"/>
  <c r="N57" i="1"/>
  <c r="P57" i="1"/>
  <c r="S57" i="1"/>
  <c r="N58" i="1"/>
  <c r="P58" i="1"/>
  <c r="S58" i="1"/>
  <c r="N59" i="1"/>
  <c r="P59" i="1"/>
  <c r="S59" i="1"/>
  <c r="N60" i="1"/>
  <c r="P60" i="1"/>
  <c r="S60" i="1"/>
  <c r="N61" i="1"/>
  <c r="P61" i="1"/>
  <c r="S61" i="1"/>
  <c r="N62" i="1"/>
  <c r="P62" i="1"/>
  <c r="S62" i="1"/>
  <c r="N63" i="1"/>
  <c r="P63" i="1"/>
  <c r="S63" i="1"/>
  <c r="N64" i="1"/>
  <c r="P64" i="1"/>
  <c r="S64" i="1"/>
  <c r="N65" i="1"/>
  <c r="P65" i="1"/>
  <c r="S65" i="1"/>
  <c r="N66" i="1"/>
  <c r="P66" i="1"/>
  <c r="S66" i="1"/>
  <c r="N67" i="1"/>
  <c r="P67" i="1"/>
  <c r="S67" i="1"/>
  <c r="N68" i="1"/>
  <c r="P68" i="1"/>
  <c r="S68" i="1"/>
  <c r="N69" i="1"/>
  <c r="P69" i="1"/>
  <c r="S69" i="1"/>
  <c r="N70" i="1"/>
  <c r="P70" i="1"/>
  <c r="S70" i="1"/>
  <c r="N71" i="1"/>
  <c r="P71" i="1"/>
  <c r="S71" i="1"/>
  <c r="N72" i="1"/>
  <c r="P72" i="1"/>
  <c r="S72" i="1"/>
  <c r="N73" i="1"/>
  <c r="P73" i="1"/>
  <c r="S73" i="1"/>
  <c r="N74" i="1"/>
  <c r="P74" i="1"/>
  <c r="S74" i="1"/>
  <c r="N75" i="1"/>
  <c r="P75" i="1"/>
  <c r="S75" i="1"/>
  <c r="N76" i="1"/>
  <c r="P76" i="1"/>
  <c r="S76" i="1"/>
  <c r="N77" i="1"/>
  <c r="P77" i="1"/>
  <c r="S77" i="1"/>
  <c r="N78" i="1"/>
  <c r="P78" i="1"/>
  <c r="S78" i="1"/>
  <c r="N79" i="1"/>
  <c r="P79" i="1"/>
  <c r="S79" i="1"/>
  <c r="N80" i="1"/>
  <c r="P80" i="1"/>
  <c r="S80" i="1"/>
  <c r="N81" i="1"/>
  <c r="P81" i="1"/>
  <c r="S81" i="1"/>
  <c r="N82" i="1"/>
  <c r="P82" i="1"/>
  <c r="S82" i="1"/>
  <c r="N83" i="1"/>
  <c r="P83" i="1"/>
  <c r="S83" i="1"/>
  <c r="N84" i="1"/>
  <c r="P84" i="1"/>
  <c r="S84" i="1"/>
  <c r="N85" i="1"/>
  <c r="P85" i="1"/>
  <c r="S85" i="1"/>
  <c r="N86" i="1"/>
  <c r="P86" i="1"/>
  <c r="S86" i="1"/>
  <c r="N87" i="1"/>
  <c r="P87" i="1"/>
  <c r="S87" i="1"/>
  <c r="N88" i="1"/>
  <c r="P88" i="1"/>
  <c r="S88" i="1"/>
  <c r="N89" i="1"/>
  <c r="P89" i="1"/>
  <c r="S89" i="1"/>
  <c r="N90" i="1"/>
  <c r="P90" i="1"/>
  <c r="S90" i="1"/>
  <c r="N91" i="1"/>
  <c r="P91" i="1"/>
  <c r="S91" i="1"/>
  <c r="N92" i="1"/>
  <c r="P92" i="1"/>
  <c r="S92" i="1"/>
  <c r="N93" i="1"/>
  <c r="P93" i="1"/>
  <c r="S93" i="1"/>
  <c r="N94" i="1"/>
  <c r="P94" i="1"/>
  <c r="S94" i="1"/>
  <c r="N95" i="1"/>
  <c r="P95" i="1"/>
  <c r="S95" i="1"/>
  <c r="N96" i="1"/>
  <c r="P96" i="1"/>
  <c r="S96" i="1"/>
  <c r="N97" i="1"/>
  <c r="P97" i="1"/>
  <c r="S97" i="1"/>
  <c r="N98" i="1"/>
  <c r="P98" i="1"/>
  <c r="S98" i="1"/>
  <c r="N99" i="1"/>
  <c r="P99" i="1"/>
  <c r="S99" i="1"/>
  <c r="N100" i="1"/>
  <c r="P100" i="1"/>
  <c r="S100" i="1"/>
  <c r="N101" i="1"/>
  <c r="P101" i="1"/>
  <c r="S101" i="1"/>
  <c r="N102" i="1"/>
  <c r="P102" i="1"/>
  <c r="S102" i="1"/>
  <c r="N103" i="1"/>
  <c r="P103" i="1"/>
  <c r="S103" i="1"/>
  <c r="N104" i="1"/>
  <c r="P104" i="1"/>
  <c r="S104" i="1"/>
  <c r="N105" i="1"/>
  <c r="P105" i="1"/>
  <c r="S105" i="1"/>
  <c r="N106" i="1"/>
  <c r="P106" i="1"/>
  <c r="S106" i="1"/>
  <c r="N107" i="1"/>
  <c r="P107" i="1"/>
  <c r="S107" i="1"/>
  <c r="N108" i="1"/>
  <c r="P108" i="1"/>
  <c r="S108" i="1"/>
  <c r="N109" i="1"/>
  <c r="P109" i="1"/>
  <c r="S109" i="1"/>
  <c r="N110" i="1"/>
  <c r="P110" i="1"/>
  <c r="S110" i="1"/>
  <c r="N111" i="1"/>
  <c r="P111" i="1"/>
  <c r="S111" i="1"/>
  <c r="N112" i="1"/>
  <c r="P112" i="1"/>
  <c r="S112" i="1"/>
  <c r="N113" i="1"/>
  <c r="P113" i="1"/>
  <c r="S113" i="1"/>
  <c r="N114" i="1"/>
  <c r="P114" i="1"/>
  <c r="S114" i="1"/>
  <c r="N115" i="1"/>
  <c r="P115" i="1"/>
  <c r="S115" i="1"/>
  <c r="N116" i="1"/>
  <c r="P116" i="1"/>
  <c r="S116" i="1"/>
  <c r="N117" i="1"/>
  <c r="P117" i="1"/>
  <c r="S117" i="1"/>
  <c r="N118" i="1"/>
  <c r="P118" i="1"/>
  <c r="S118" i="1"/>
  <c r="N119" i="1"/>
  <c r="P119" i="1"/>
  <c r="S119" i="1"/>
  <c r="N120" i="1"/>
  <c r="P120" i="1"/>
  <c r="S120" i="1"/>
  <c r="N121" i="1"/>
  <c r="P121" i="1"/>
  <c r="S121" i="1"/>
  <c r="N122" i="1"/>
  <c r="P122" i="1"/>
  <c r="S122" i="1"/>
  <c r="N123" i="1"/>
  <c r="P123" i="1"/>
  <c r="S123" i="1"/>
  <c r="N124" i="1"/>
  <c r="P124" i="1"/>
  <c r="R124" i="1"/>
  <c r="S124" i="1"/>
  <c r="N125" i="1"/>
  <c r="P125" i="1"/>
  <c r="S125" i="1"/>
  <c r="N126" i="1"/>
  <c r="P126" i="1"/>
  <c r="S126" i="1"/>
  <c r="N127" i="1"/>
  <c r="P127" i="1"/>
  <c r="S127" i="1"/>
  <c r="N128" i="1"/>
  <c r="P128" i="1"/>
  <c r="S128" i="1"/>
  <c r="N129" i="1"/>
  <c r="P129" i="1"/>
  <c r="S129" i="1"/>
  <c r="N130" i="1"/>
  <c r="P130" i="1"/>
  <c r="S130" i="1"/>
  <c r="N131" i="1"/>
  <c r="P131" i="1"/>
  <c r="S131" i="1"/>
  <c r="N132" i="1"/>
  <c r="P132" i="1"/>
  <c r="S132" i="1"/>
  <c r="N133" i="1"/>
  <c r="P133" i="1"/>
  <c r="S133" i="1"/>
  <c r="N134" i="1"/>
  <c r="P134" i="1"/>
  <c r="S134" i="1"/>
  <c r="N135" i="1"/>
  <c r="P135" i="1"/>
  <c r="S135" i="1"/>
  <c r="N136" i="1"/>
  <c r="P136" i="1"/>
  <c r="S136" i="1"/>
  <c r="N137" i="1"/>
  <c r="P137" i="1"/>
  <c r="S137" i="1"/>
  <c r="N138" i="1"/>
  <c r="P138" i="1"/>
  <c r="S138" i="1"/>
  <c r="N139" i="1"/>
  <c r="P139" i="1"/>
  <c r="S139" i="1"/>
  <c r="N140" i="1"/>
  <c r="P140" i="1"/>
  <c r="S140" i="1"/>
  <c r="N141" i="1"/>
  <c r="P141" i="1"/>
  <c r="S141" i="1"/>
  <c r="N142" i="1"/>
  <c r="P142" i="1"/>
  <c r="S142" i="1"/>
  <c r="N143" i="1"/>
  <c r="P143" i="1"/>
  <c r="S143" i="1"/>
  <c r="N144" i="1"/>
  <c r="P144" i="1"/>
  <c r="S144" i="1"/>
  <c r="N145" i="1"/>
  <c r="P145" i="1"/>
  <c r="S145" i="1"/>
  <c r="N146" i="1"/>
  <c r="P146" i="1"/>
  <c r="S146" i="1"/>
  <c r="N147" i="1"/>
  <c r="P147" i="1"/>
  <c r="S147" i="1"/>
  <c r="N148" i="1"/>
  <c r="P148" i="1"/>
  <c r="S148" i="1"/>
  <c r="N149" i="1"/>
  <c r="P149" i="1"/>
  <c r="S149" i="1"/>
  <c r="N150" i="1"/>
  <c r="P150" i="1"/>
  <c r="S150" i="1"/>
  <c r="N151" i="1"/>
  <c r="P151" i="1"/>
  <c r="S151" i="1"/>
  <c r="N152" i="1"/>
  <c r="P152" i="1"/>
  <c r="S152" i="1"/>
  <c r="N153" i="1"/>
  <c r="P153" i="1"/>
  <c r="S153" i="1"/>
  <c r="N154" i="1"/>
  <c r="P154" i="1"/>
  <c r="S154" i="1"/>
  <c r="N155" i="1"/>
  <c r="P155" i="1"/>
  <c r="S155" i="1"/>
  <c r="N156" i="1"/>
  <c r="P156" i="1"/>
  <c r="S156" i="1"/>
  <c r="N157" i="1"/>
  <c r="P157" i="1"/>
  <c r="S157" i="1"/>
  <c r="N158" i="1"/>
  <c r="P158" i="1"/>
  <c r="S158" i="1"/>
  <c r="N159" i="1"/>
  <c r="P159" i="1"/>
  <c r="S159" i="1"/>
  <c r="N160" i="1"/>
  <c r="P160" i="1"/>
  <c r="S160" i="1"/>
  <c r="N161" i="1"/>
  <c r="P161" i="1"/>
  <c r="S161" i="1"/>
  <c r="N162" i="1"/>
  <c r="P162" i="1"/>
  <c r="S162" i="1"/>
  <c r="N163" i="1"/>
  <c r="P163" i="1"/>
  <c r="S163" i="1"/>
  <c r="N164" i="1"/>
  <c r="P164" i="1"/>
  <c r="S164" i="1"/>
  <c r="N165" i="1"/>
  <c r="P165" i="1"/>
  <c r="S165" i="1"/>
  <c r="N166" i="1"/>
  <c r="P166" i="1"/>
  <c r="S166" i="1"/>
  <c r="N167" i="1"/>
  <c r="P167" i="1"/>
  <c r="S167" i="1"/>
  <c r="N168" i="1"/>
  <c r="P168" i="1"/>
  <c r="S168" i="1"/>
  <c r="N169" i="1"/>
  <c r="P169" i="1"/>
  <c r="S169" i="1"/>
  <c r="N170" i="1"/>
  <c r="P170" i="1"/>
  <c r="S170" i="1"/>
  <c r="N171" i="1"/>
  <c r="P171" i="1"/>
  <c r="S171" i="1"/>
  <c r="N172" i="1"/>
  <c r="P172" i="1"/>
  <c r="S172" i="1"/>
  <c r="N173" i="1"/>
  <c r="P173" i="1"/>
  <c r="S173" i="1"/>
  <c r="N174" i="1"/>
  <c r="P174" i="1"/>
  <c r="S174" i="1"/>
  <c r="N175" i="1"/>
  <c r="P175" i="1"/>
  <c r="S175" i="1"/>
  <c r="N176" i="1"/>
  <c r="P176" i="1"/>
  <c r="S176" i="1"/>
  <c r="N177" i="1"/>
  <c r="P177" i="1"/>
  <c r="S177" i="1"/>
  <c r="N178" i="1"/>
  <c r="P178" i="1"/>
  <c r="S178" i="1"/>
  <c r="N179" i="1"/>
  <c r="P179" i="1"/>
  <c r="S179" i="1"/>
  <c r="N180" i="1"/>
  <c r="P180" i="1"/>
  <c r="S180" i="1"/>
  <c r="N181" i="1"/>
  <c r="P181" i="1"/>
  <c r="S181" i="1"/>
  <c r="N182" i="1"/>
  <c r="P182" i="1"/>
  <c r="S182" i="1"/>
  <c r="N183" i="1"/>
  <c r="P183" i="1"/>
  <c r="S183" i="1"/>
  <c r="N184" i="1"/>
  <c r="P184" i="1"/>
  <c r="S184" i="1"/>
  <c r="N185" i="1"/>
  <c r="P185" i="1"/>
  <c r="S185" i="1"/>
  <c r="N186" i="1"/>
  <c r="P186" i="1"/>
  <c r="S186" i="1"/>
  <c r="N187" i="1"/>
  <c r="P187" i="1"/>
  <c r="S187" i="1"/>
  <c r="N188" i="1"/>
  <c r="P188" i="1"/>
  <c r="S188" i="1"/>
  <c r="N189" i="1"/>
  <c r="P189" i="1"/>
  <c r="S189" i="1"/>
  <c r="N190" i="1"/>
  <c r="P190" i="1"/>
  <c r="S190" i="1"/>
  <c r="N191" i="1"/>
  <c r="P191" i="1"/>
  <c r="S191" i="1"/>
  <c r="N192" i="1"/>
  <c r="P192" i="1"/>
  <c r="S192" i="1"/>
  <c r="N193" i="1"/>
  <c r="P193" i="1"/>
  <c r="S193" i="1"/>
  <c r="N194" i="1"/>
  <c r="P194" i="1"/>
  <c r="S194" i="1"/>
  <c r="N195" i="1"/>
  <c r="P195" i="1"/>
  <c r="S195" i="1"/>
  <c r="N196" i="1"/>
  <c r="P196" i="1"/>
  <c r="S196" i="1"/>
  <c r="N197" i="1"/>
  <c r="P197" i="1"/>
  <c r="S197" i="1"/>
  <c r="S3" i="1"/>
  <c r="P3" i="1"/>
  <c r="N3" i="1"/>
  <c r="F4" i="1"/>
  <c r="R4" i="1" s="1"/>
  <c r="F5" i="1"/>
  <c r="R5" i="1" s="1"/>
  <c r="F6" i="1"/>
  <c r="R6" i="1" s="1"/>
  <c r="F7" i="1"/>
  <c r="R7" i="1" s="1"/>
  <c r="F8" i="1"/>
  <c r="R8" i="1" s="1"/>
  <c r="F9" i="1"/>
  <c r="R9" i="1" s="1"/>
  <c r="F10" i="1"/>
  <c r="R10" i="1" s="1"/>
  <c r="F11" i="1"/>
  <c r="R11" i="1" s="1"/>
  <c r="F12" i="1"/>
  <c r="R12" i="1" s="1"/>
  <c r="F13" i="1"/>
  <c r="R13" i="1" s="1"/>
  <c r="F14" i="1"/>
  <c r="R14" i="1" s="1"/>
  <c r="F15" i="1"/>
  <c r="R15" i="1" s="1"/>
  <c r="F16" i="1"/>
  <c r="R16" i="1" s="1"/>
  <c r="F17" i="1"/>
  <c r="R17" i="1" s="1"/>
  <c r="F18" i="1"/>
  <c r="R18" i="1" s="1"/>
  <c r="F19" i="1"/>
  <c r="R19" i="1" s="1"/>
  <c r="F20" i="1"/>
  <c r="R20" i="1" s="1"/>
  <c r="F21" i="1"/>
  <c r="R21" i="1" s="1"/>
  <c r="F22" i="1"/>
  <c r="R22" i="1" s="1"/>
  <c r="F23" i="1"/>
  <c r="R23" i="1" s="1"/>
  <c r="F24" i="1"/>
  <c r="R24" i="1" s="1"/>
  <c r="F25" i="1"/>
  <c r="R25" i="1" s="1"/>
  <c r="F26" i="1"/>
  <c r="R26" i="1" s="1"/>
  <c r="F27" i="1"/>
  <c r="R27" i="1" s="1"/>
  <c r="F28" i="1"/>
  <c r="R28" i="1" s="1"/>
  <c r="F29" i="1"/>
  <c r="R29" i="1" s="1"/>
  <c r="F30" i="1"/>
  <c r="R30" i="1" s="1"/>
  <c r="F31" i="1"/>
  <c r="R31" i="1" s="1"/>
  <c r="F32" i="1"/>
  <c r="R32" i="1" s="1"/>
  <c r="F33" i="1"/>
  <c r="R33" i="1" s="1"/>
  <c r="F34" i="1"/>
  <c r="R34" i="1" s="1"/>
  <c r="F35" i="1"/>
  <c r="R35" i="1" s="1"/>
  <c r="F36" i="1"/>
  <c r="R36" i="1" s="1"/>
  <c r="F37" i="1"/>
  <c r="R37" i="1" s="1"/>
  <c r="F38" i="1"/>
  <c r="R38" i="1" s="1"/>
  <c r="F39" i="1"/>
  <c r="R39" i="1" s="1"/>
  <c r="F40" i="1"/>
  <c r="R40" i="1" s="1"/>
  <c r="F41" i="1"/>
  <c r="R41" i="1" s="1"/>
  <c r="F42" i="1"/>
  <c r="R42" i="1" s="1"/>
  <c r="F43" i="1"/>
  <c r="R43" i="1" s="1"/>
  <c r="F44" i="1"/>
  <c r="R44" i="1" s="1"/>
  <c r="F45" i="1"/>
  <c r="R45" i="1" s="1"/>
  <c r="F46" i="1"/>
  <c r="R46" i="1" s="1"/>
  <c r="F47" i="1"/>
  <c r="R47" i="1" s="1"/>
  <c r="F48" i="1"/>
  <c r="R48" i="1" s="1"/>
  <c r="F49" i="1"/>
  <c r="R49" i="1" s="1"/>
  <c r="F50" i="1"/>
  <c r="R50" i="1" s="1"/>
  <c r="F51" i="1"/>
  <c r="R51" i="1" s="1"/>
  <c r="F52" i="1"/>
  <c r="R52" i="1" s="1"/>
  <c r="F53" i="1"/>
  <c r="R53" i="1" s="1"/>
  <c r="F54" i="1"/>
  <c r="R54" i="1" s="1"/>
  <c r="F55" i="1"/>
  <c r="R55" i="1" s="1"/>
  <c r="F56" i="1"/>
  <c r="R56" i="1" s="1"/>
  <c r="F57" i="1"/>
  <c r="R57" i="1" s="1"/>
  <c r="F58" i="1"/>
  <c r="R58" i="1" s="1"/>
  <c r="F59" i="1"/>
  <c r="R59" i="1" s="1"/>
  <c r="F60" i="1"/>
  <c r="R60" i="1" s="1"/>
  <c r="F61" i="1"/>
  <c r="R61" i="1" s="1"/>
  <c r="F62" i="1"/>
  <c r="R62" i="1" s="1"/>
  <c r="F63" i="1"/>
  <c r="R63" i="1" s="1"/>
  <c r="F64" i="1"/>
  <c r="R64" i="1" s="1"/>
  <c r="F65" i="1"/>
  <c r="R65" i="1" s="1"/>
  <c r="F66" i="1"/>
  <c r="R66" i="1" s="1"/>
  <c r="F67" i="1"/>
  <c r="R67" i="1" s="1"/>
  <c r="F68" i="1"/>
  <c r="R68" i="1" s="1"/>
  <c r="F69" i="1"/>
  <c r="R69" i="1" s="1"/>
  <c r="F70" i="1"/>
  <c r="R70" i="1" s="1"/>
  <c r="F71" i="1"/>
  <c r="R71" i="1" s="1"/>
  <c r="F72" i="1"/>
  <c r="R72" i="1" s="1"/>
  <c r="F73" i="1"/>
  <c r="R73" i="1" s="1"/>
  <c r="F74" i="1"/>
  <c r="R74" i="1" s="1"/>
  <c r="F75" i="1"/>
  <c r="R75" i="1" s="1"/>
  <c r="F76" i="1"/>
  <c r="R76" i="1" s="1"/>
  <c r="F77" i="1"/>
  <c r="R77" i="1" s="1"/>
  <c r="F78" i="1"/>
  <c r="R78" i="1" s="1"/>
  <c r="F79" i="1"/>
  <c r="R79" i="1" s="1"/>
  <c r="F80" i="1"/>
  <c r="R80" i="1" s="1"/>
  <c r="F81" i="1"/>
  <c r="R81" i="1" s="1"/>
  <c r="F82" i="1"/>
  <c r="R82" i="1" s="1"/>
  <c r="F83" i="1"/>
  <c r="R83" i="1" s="1"/>
  <c r="F84" i="1"/>
  <c r="R84" i="1" s="1"/>
  <c r="F85" i="1"/>
  <c r="R85" i="1" s="1"/>
  <c r="F86" i="1"/>
  <c r="R86" i="1" s="1"/>
  <c r="F87" i="1"/>
  <c r="R87" i="1" s="1"/>
  <c r="F88" i="1"/>
  <c r="R88" i="1" s="1"/>
  <c r="F89" i="1"/>
  <c r="R89" i="1" s="1"/>
  <c r="F90" i="1"/>
  <c r="R90" i="1" s="1"/>
  <c r="F91" i="1"/>
  <c r="R91" i="1" s="1"/>
  <c r="F92" i="1"/>
  <c r="R92" i="1" s="1"/>
  <c r="F93" i="1"/>
  <c r="R93" i="1" s="1"/>
  <c r="F94" i="1"/>
  <c r="R94" i="1" s="1"/>
  <c r="F95" i="1"/>
  <c r="R95" i="1" s="1"/>
  <c r="F96" i="1"/>
  <c r="R96" i="1" s="1"/>
  <c r="F97" i="1"/>
  <c r="R97" i="1" s="1"/>
  <c r="F98" i="1"/>
  <c r="R98" i="1" s="1"/>
  <c r="F99" i="1"/>
  <c r="R99" i="1" s="1"/>
  <c r="F100" i="1"/>
  <c r="R100" i="1" s="1"/>
  <c r="F101" i="1"/>
  <c r="R101" i="1" s="1"/>
  <c r="F102" i="1"/>
  <c r="R102" i="1" s="1"/>
  <c r="F103" i="1"/>
  <c r="R103" i="1" s="1"/>
  <c r="F104" i="1"/>
  <c r="R104" i="1" s="1"/>
  <c r="F105" i="1"/>
  <c r="R105" i="1" s="1"/>
  <c r="F106" i="1"/>
  <c r="R106" i="1" s="1"/>
  <c r="F107" i="1"/>
  <c r="R107" i="1" s="1"/>
  <c r="F108" i="1"/>
  <c r="R108" i="1" s="1"/>
  <c r="F109" i="1"/>
  <c r="R109" i="1" s="1"/>
  <c r="F110" i="1"/>
  <c r="R110" i="1" s="1"/>
  <c r="F111" i="1"/>
  <c r="R111" i="1" s="1"/>
  <c r="F112" i="1"/>
  <c r="R112" i="1" s="1"/>
  <c r="F113" i="1"/>
  <c r="R113" i="1" s="1"/>
  <c r="F114" i="1"/>
  <c r="R114" i="1" s="1"/>
  <c r="F115" i="1"/>
  <c r="R115" i="1" s="1"/>
  <c r="F116" i="1"/>
  <c r="R116" i="1" s="1"/>
  <c r="F117" i="1"/>
  <c r="R117" i="1" s="1"/>
  <c r="F118" i="1"/>
  <c r="R118" i="1" s="1"/>
  <c r="F119" i="1"/>
  <c r="R119" i="1" s="1"/>
  <c r="F120" i="1"/>
  <c r="R120" i="1" s="1"/>
  <c r="F121" i="1"/>
  <c r="R121" i="1" s="1"/>
  <c r="F122" i="1"/>
  <c r="R122" i="1" s="1"/>
  <c r="F123" i="1"/>
  <c r="R123" i="1" s="1"/>
  <c r="F124" i="1"/>
  <c r="F125" i="1"/>
  <c r="R125" i="1" s="1"/>
  <c r="F126" i="1"/>
  <c r="R126" i="1" s="1"/>
  <c r="F127" i="1"/>
  <c r="R127" i="1" s="1"/>
  <c r="F128" i="1"/>
  <c r="R128" i="1" s="1"/>
  <c r="F129" i="1"/>
  <c r="R129" i="1" s="1"/>
  <c r="F130" i="1"/>
  <c r="R130" i="1" s="1"/>
  <c r="F131" i="1"/>
  <c r="R131" i="1" s="1"/>
  <c r="F132" i="1"/>
  <c r="R132" i="1" s="1"/>
  <c r="F133" i="1"/>
  <c r="R133" i="1" s="1"/>
  <c r="F134" i="1"/>
  <c r="R134" i="1" s="1"/>
  <c r="F135" i="1"/>
  <c r="R135" i="1" s="1"/>
  <c r="F136" i="1"/>
  <c r="R136" i="1" s="1"/>
  <c r="F137" i="1"/>
  <c r="R137" i="1" s="1"/>
  <c r="F138" i="1"/>
  <c r="R138" i="1" s="1"/>
  <c r="F139" i="1"/>
  <c r="R139" i="1" s="1"/>
  <c r="F140" i="1"/>
  <c r="R140" i="1" s="1"/>
  <c r="F141" i="1"/>
  <c r="R141" i="1" s="1"/>
  <c r="F142" i="1"/>
  <c r="R142" i="1" s="1"/>
  <c r="F143" i="1"/>
  <c r="R143" i="1" s="1"/>
  <c r="F144" i="1"/>
  <c r="R144" i="1" s="1"/>
  <c r="F145" i="1"/>
  <c r="R145" i="1" s="1"/>
  <c r="F146" i="1"/>
  <c r="R146" i="1" s="1"/>
  <c r="F147" i="1"/>
  <c r="R147" i="1" s="1"/>
  <c r="F148" i="1"/>
  <c r="R148" i="1" s="1"/>
  <c r="F149" i="1"/>
  <c r="R149" i="1" s="1"/>
  <c r="F150" i="1"/>
  <c r="R150" i="1" s="1"/>
  <c r="F151" i="1"/>
  <c r="R151" i="1" s="1"/>
  <c r="F152" i="1"/>
  <c r="R152" i="1" s="1"/>
  <c r="F153" i="1"/>
  <c r="R153" i="1" s="1"/>
  <c r="F154" i="1"/>
  <c r="R154" i="1" s="1"/>
  <c r="F155" i="1"/>
  <c r="R155" i="1" s="1"/>
  <c r="F156" i="1"/>
  <c r="R156" i="1" s="1"/>
  <c r="F157" i="1"/>
  <c r="R157" i="1" s="1"/>
  <c r="F158" i="1"/>
  <c r="R158" i="1" s="1"/>
  <c r="F159" i="1"/>
  <c r="R159" i="1" s="1"/>
  <c r="F160" i="1"/>
  <c r="R160" i="1" s="1"/>
  <c r="F161" i="1"/>
  <c r="R161" i="1" s="1"/>
  <c r="F162" i="1"/>
  <c r="R162" i="1" s="1"/>
  <c r="F163" i="1"/>
  <c r="R163" i="1" s="1"/>
  <c r="F164" i="1"/>
  <c r="R164" i="1" s="1"/>
  <c r="F165" i="1"/>
  <c r="R165" i="1" s="1"/>
  <c r="F166" i="1"/>
  <c r="R166" i="1" s="1"/>
  <c r="F167" i="1"/>
  <c r="R167" i="1" s="1"/>
  <c r="F168" i="1"/>
  <c r="R168" i="1" s="1"/>
  <c r="F169" i="1"/>
  <c r="R169" i="1" s="1"/>
  <c r="F170" i="1"/>
  <c r="R170" i="1" s="1"/>
  <c r="F171" i="1"/>
  <c r="R171" i="1" s="1"/>
  <c r="F172" i="1"/>
  <c r="R172" i="1" s="1"/>
  <c r="F173" i="1"/>
  <c r="R173" i="1" s="1"/>
  <c r="F174" i="1"/>
  <c r="R174" i="1" s="1"/>
  <c r="F175" i="1"/>
  <c r="R175" i="1" s="1"/>
  <c r="F176" i="1"/>
  <c r="R176" i="1" s="1"/>
  <c r="F177" i="1"/>
  <c r="R177" i="1" s="1"/>
  <c r="F178" i="1"/>
  <c r="R178" i="1" s="1"/>
  <c r="F179" i="1"/>
  <c r="R179" i="1" s="1"/>
  <c r="F180" i="1"/>
  <c r="R180" i="1" s="1"/>
  <c r="F181" i="1"/>
  <c r="R181" i="1" s="1"/>
  <c r="F182" i="1"/>
  <c r="R182" i="1" s="1"/>
  <c r="F183" i="1"/>
  <c r="R183" i="1" s="1"/>
  <c r="F184" i="1"/>
  <c r="R184" i="1" s="1"/>
  <c r="F185" i="1"/>
  <c r="R185" i="1" s="1"/>
  <c r="F186" i="1"/>
  <c r="R186" i="1" s="1"/>
  <c r="F187" i="1"/>
  <c r="R187" i="1" s="1"/>
  <c r="F188" i="1"/>
  <c r="R188" i="1" s="1"/>
  <c r="F189" i="1"/>
  <c r="R189" i="1" s="1"/>
  <c r="F190" i="1"/>
  <c r="R190" i="1" s="1"/>
  <c r="F191" i="1"/>
  <c r="R191" i="1" s="1"/>
  <c r="F192" i="1"/>
  <c r="R192" i="1" s="1"/>
  <c r="F193" i="1"/>
  <c r="R193" i="1" s="1"/>
  <c r="F194" i="1"/>
  <c r="R194" i="1" s="1"/>
  <c r="F195" i="1"/>
  <c r="R195" i="1" s="1"/>
  <c r="F196" i="1"/>
  <c r="R196" i="1" s="1"/>
  <c r="F197" i="1"/>
  <c r="R197" i="1" s="1"/>
  <c r="H4" i="1"/>
  <c r="T4" i="1" s="1"/>
  <c r="I4" i="1"/>
  <c r="U4" i="1" s="1"/>
  <c r="J4" i="1"/>
  <c r="V4" i="1" s="1"/>
  <c r="K4" i="1"/>
  <c r="W4" i="1" s="1"/>
  <c r="H5" i="1"/>
  <c r="T5" i="1" s="1"/>
  <c r="I5" i="1"/>
  <c r="U5" i="1" s="1"/>
  <c r="J5" i="1"/>
  <c r="V5" i="1" s="1"/>
  <c r="K5" i="1"/>
  <c r="W5" i="1" s="1"/>
  <c r="H6" i="1"/>
  <c r="T6" i="1" s="1"/>
  <c r="I6" i="1"/>
  <c r="U6" i="1" s="1"/>
  <c r="J6" i="1"/>
  <c r="V6" i="1" s="1"/>
  <c r="K6" i="1"/>
  <c r="W6" i="1" s="1"/>
  <c r="H7" i="1"/>
  <c r="T7" i="1" s="1"/>
  <c r="I7" i="1"/>
  <c r="U7" i="1" s="1"/>
  <c r="J7" i="1"/>
  <c r="V7" i="1" s="1"/>
  <c r="K7" i="1"/>
  <c r="W7" i="1" s="1"/>
  <c r="H8" i="1"/>
  <c r="T8" i="1" s="1"/>
  <c r="I8" i="1"/>
  <c r="U8" i="1" s="1"/>
  <c r="J8" i="1"/>
  <c r="V8" i="1" s="1"/>
  <c r="K8" i="1"/>
  <c r="W8" i="1" s="1"/>
  <c r="H9" i="1"/>
  <c r="T9" i="1" s="1"/>
  <c r="I9" i="1"/>
  <c r="U9" i="1" s="1"/>
  <c r="J9" i="1"/>
  <c r="V9" i="1" s="1"/>
  <c r="K9" i="1"/>
  <c r="W9" i="1" s="1"/>
  <c r="H10" i="1"/>
  <c r="T10" i="1" s="1"/>
  <c r="I10" i="1"/>
  <c r="U10" i="1" s="1"/>
  <c r="J10" i="1"/>
  <c r="V10" i="1" s="1"/>
  <c r="K10" i="1"/>
  <c r="W10" i="1" s="1"/>
  <c r="H11" i="1"/>
  <c r="T11" i="1" s="1"/>
  <c r="I11" i="1"/>
  <c r="U11" i="1" s="1"/>
  <c r="J11" i="1"/>
  <c r="V11" i="1" s="1"/>
  <c r="K11" i="1"/>
  <c r="W11" i="1" s="1"/>
  <c r="H12" i="1"/>
  <c r="T12" i="1" s="1"/>
  <c r="I12" i="1"/>
  <c r="U12" i="1" s="1"/>
  <c r="J12" i="1"/>
  <c r="V12" i="1" s="1"/>
  <c r="K12" i="1"/>
  <c r="W12" i="1" s="1"/>
  <c r="H13" i="1"/>
  <c r="T13" i="1" s="1"/>
  <c r="I13" i="1"/>
  <c r="U13" i="1" s="1"/>
  <c r="J13" i="1"/>
  <c r="V13" i="1" s="1"/>
  <c r="K13" i="1"/>
  <c r="W13" i="1" s="1"/>
  <c r="H14" i="1"/>
  <c r="T14" i="1" s="1"/>
  <c r="I14" i="1"/>
  <c r="U14" i="1" s="1"/>
  <c r="J14" i="1"/>
  <c r="V14" i="1" s="1"/>
  <c r="K14" i="1"/>
  <c r="W14" i="1" s="1"/>
  <c r="H15" i="1"/>
  <c r="T15" i="1" s="1"/>
  <c r="I15" i="1"/>
  <c r="U15" i="1" s="1"/>
  <c r="J15" i="1"/>
  <c r="V15" i="1" s="1"/>
  <c r="K15" i="1"/>
  <c r="W15" i="1" s="1"/>
  <c r="H16" i="1"/>
  <c r="T16" i="1" s="1"/>
  <c r="I16" i="1"/>
  <c r="U16" i="1" s="1"/>
  <c r="J16" i="1"/>
  <c r="V16" i="1" s="1"/>
  <c r="K16" i="1"/>
  <c r="W16" i="1" s="1"/>
  <c r="H17" i="1"/>
  <c r="T17" i="1" s="1"/>
  <c r="I17" i="1"/>
  <c r="U17" i="1" s="1"/>
  <c r="J17" i="1"/>
  <c r="V17" i="1" s="1"/>
  <c r="K17" i="1"/>
  <c r="W17" i="1" s="1"/>
  <c r="H18" i="1"/>
  <c r="T18" i="1" s="1"/>
  <c r="I18" i="1"/>
  <c r="U18" i="1" s="1"/>
  <c r="J18" i="1"/>
  <c r="V18" i="1" s="1"/>
  <c r="K18" i="1"/>
  <c r="W18" i="1" s="1"/>
  <c r="H19" i="1"/>
  <c r="T19" i="1" s="1"/>
  <c r="I19" i="1"/>
  <c r="U19" i="1" s="1"/>
  <c r="J19" i="1"/>
  <c r="V19" i="1" s="1"/>
  <c r="K19" i="1"/>
  <c r="W19" i="1" s="1"/>
  <c r="H20" i="1"/>
  <c r="T20" i="1" s="1"/>
  <c r="I20" i="1"/>
  <c r="U20" i="1" s="1"/>
  <c r="J20" i="1"/>
  <c r="V20" i="1" s="1"/>
  <c r="K20" i="1"/>
  <c r="W20" i="1" s="1"/>
  <c r="H21" i="1"/>
  <c r="T21" i="1" s="1"/>
  <c r="I21" i="1"/>
  <c r="U21" i="1" s="1"/>
  <c r="J21" i="1"/>
  <c r="V21" i="1" s="1"/>
  <c r="K21" i="1"/>
  <c r="W21" i="1" s="1"/>
  <c r="H22" i="1"/>
  <c r="T22" i="1" s="1"/>
  <c r="I22" i="1"/>
  <c r="U22" i="1" s="1"/>
  <c r="J22" i="1"/>
  <c r="V22" i="1" s="1"/>
  <c r="K22" i="1"/>
  <c r="W22" i="1" s="1"/>
  <c r="H23" i="1"/>
  <c r="T23" i="1" s="1"/>
  <c r="I23" i="1"/>
  <c r="U23" i="1" s="1"/>
  <c r="J23" i="1"/>
  <c r="V23" i="1" s="1"/>
  <c r="K23" i="1"/>
  <c r="W23" i="1" s="1"/>
  <c r="H24" i="1"/>
  <c r="T24" i="1" s="1"/>
  <c r="I24" i="1"/>
  <c r="U24" i="1" s="1"/>
  <c r="J24" i="1"/>
  <c r="V24" i="1" s="1"/>
  <c r="K24" i="1"/>
  <c r="W24" i="1" s="1"/>
  <c r="H25" i="1"/>
  <c r="T25" i="1" s="1"/>
  <c r="I25" i="1"/>
  <c r="U25" i="1" s="1"/>
  <c r="J25" i="1"/>
  <c r="V25" i="1" s="1"/>
  <c r="K25" i="1"/>
  <c r="W25" i="1" s="1"/>
  <c r="H26" i="1"/>
  <c r="T26" i="1" s="1"/>
  <c r="I26" i="1"/>
  <c r="U26" i="1" s="1"/>
  <c r="J26" i="1"/>
  <c r="V26" i="1" s="1"/>
  <c r="K26" i="1"/>
  <c r="W26" i="1" s="1"/>
  <c r="H27" i="1"/>
  <c r="T27" i="1" s="1"/>
  <c r="I27" i="1"/>
  <c r="U27" i="1" s="1"/>
  <c r="J27" i="1"/>
  <c r="V27" i="1" s="1"/>
  <c r="K27" i="1"/>
  <c r="W27" i="1" s="1"/>
  <c r="H28" i="1"/>
  <c r="T28" i="1" s="1"/>
  <c r="I28" i="1"/>
  <c r="U28" i="1" s="1"/>
  <c r="J28" i="1"/>
  <c r="V28" i="1" s="1"/>
  <c r="K28" i="1"/>
  <c r="W28" i="1" s="1"/>
  <c r="H29" i="1"/>
  <c r="T29" i="1" s="1"/>
  <c r="I29" i="1"/>
  <c r="U29" i="1" s="1"/>
  <c r="J29" i="1"/>
  <c r="V29" i="1" s="1"/>
  <c r="K29" i="1"/>
  <c r="W29" i="1" s="1"/>
  <c r="H30" i="1"/>
  <c r="T30" i="1" s="1"/>
  <c r="I30" i="1"/>
  <c r="U30" i="1" s="1"/>
  <c r="J30" i="1"/>
  <c r="V30" i="1" s="1"/>
  <c r="K30" i="1"/>
  <c r="W30" i="1" s="1"/>
  <c r="H31" i="1"/>
  <c r="T31" i="1" s="1"/>
  <c r="I31" i="1"/>
  <c r="U31" i="1" s="1"/>
  <c r="J31" i="1"/>
  <c r="V31" i="1" s="1"/>
  <c r="K31" i="1"/>
  <c r="W31" i="1" s="1"/>
  <c r="H32" i="1"/>
  <c r="T32" i="1" s="1"/>
  <c r="I32" i="1"/>
  <c r="U32" i="1" s="1"/>
  <c r="J32" i="1"/>
  <c r="V32" i="1" s="1"/>
  <c r="K32" i="1"/>
  <c r="W32" i="1" s="1"/>
  <c r="H33" i="1"/>
  <c r="T33" i="1" s="1"/>
  <c r="I33" i="1"/>
  <c r="U33" i="1" s="1"/>
  <c r="J33" i="1"/>
  <c r="V33" i="1" s="1"/>
  <c r="K33" i="1"/>
  <c r="W33" i="1" s="1"/>
  <c r="H34" i="1"/>
  <c r="T34" i="1" s="1"/>
  <c r="I34" i="1"/>
  <c r="U34" i="1" s="1"/>
  <c r="J34" i="1"/>
  <c r="V34" i="1" s="1"/>
  <c r="K34" i="1"/>
  <c r="W34" i="1" s="1"/>
  <c r="H35" i="1"/>
  <c r="T35" i="1" s="1"/>
  <c r="I35" i="1"/>
  <c r="U35" i="1" s="1"/>
  <c r="J35" i="1"/>
  <c r="V35" i="1" s="1"/>
  <c r="K35" i="1"/>
  <c r="W35" i="1" s="1"/>
  <c r="H36" i="1"/>
  <c r="T36" i="1" s="1"/>
  <c r="I36" i="1"/>
  <c r="U36" i="1" s="1"/>
  <c r="J36" i="1"/>
  <c r="V36" i="1" s="1"/>
  <c r="K36" i="1"/>
  <c r="W36" i="1" s="1"/>
  <c r="H37" i="1"/>
  <c r="T37" i="1" s="1"/>
  <c r="I37" i="1"/>
  <c r="U37" i="1" s="1"/>
  <c r="J37" i="1"/>
  <c r="V37" i="1" s="1"/>
  <c r="K37" i="1"/>
  <c r="W37" i="1" s="1"/>
  <c r="H38" i="1"/>
  <c r="T38" i="1" s="1"/>
  <c r="I38" i="1"/>
  <c r="U38" i="1" s="1"/>
  <c r="J38" i="1"/>
  <c r="V38" i="1" s="1"/>
  <c r="K38" i="1"/>
  <c r="W38" i="1" s="1"/>
  <c r="H39" i="1"/>
  <c r="T39" i="1" s="1"/>
  <c r="I39" i="1"/>
  <c r="U39" i="1" s="1"/>
  <c r="J39" i="1"/>
  <c r="V39" i="1" s="1"/>
  <c r="K39" i="1"/>
  <c r="W39" i="1" s="1"/>
  <c r="H40" i="1"/>
  <c r="T40" i="1" s="1"/>
  <c r="I40" i="1"/>
  <c r="U40" i="1" s="1"/>
  <c r="J40" i="1"/>
  <c r="V40" i="1" s="1"/>
  <c r="K40" i="1"/>
  <c r="W40" i="1" s="1"/>
  <c r="H41" i="1"/>
  <c r="T41" i="1" s="1"/>
  <c r="I41" i="1"/>
  <c r="U41" i="1" s="1"/>
  <c r="J41" i="1"/>
  <c r="V41" i="1" s="1"/>
  <c r="K41" i="1"/>
  <c r="W41" i="1" s="1"/>
  <c r="H42" i="1"/>
  <c r="T42" i="1" s="1"/>
  <c r="I42" i="1"/>
  <c r="U42" i="1" s="1"/>
  <c r="J42" i="1"/>
  <c r="V42" i="1" s="1"/>
  <c r="K42" i="1"/>
  <c r="W42" i="1" s="1"/>
  <c r="H43" i="1"/>
  <c r="T43" i="1" s="1"/>
  <c r="I43" i="1"/>
  <c r="U43" i="1" s="1"/>
  <c r="J43" i="1"/>
  <c r="V43" i="1" s="1"/>
  <c r="K43" i="1"/>
  <c r="W43" i="1" s="1"/>
  <c r="H44" i="1"/>
  <c r="T44" i="1" s="1"/>
  <c r="I44" i="1"/>
  <c r="U44" i="1" s="1"/>
  <c r="J44" i="1"/>
  <c r="V44" i="1" s="1"/>
  <c r="K44" i="1"/>
  <c r="W44" i="1" s="1"/>
  <c r="H45" i="1"/>
  <c r="T45" i="1" s="1"/>
  <c r="I45" i="1"/>
  <c r="U45" i="1" s="1"/>
  <c r="J45" i="1"/>
  <c r="V45" i="1" s="1"/>
  <c r="K45" i="1"/>
  <c r="W45" i="1" s="1"/>
  <c r="H46" i="1"/>
  <c r="T46" i="1" s="1"/>
  <c r="I46" i="1"/>
  <c r="U46" i="1" s="1"/>
  <c r="J46" i="1"/>
  <c r="V46" i="1" s="1"/>
  <c r="K46" i="1"/>
  <c r="W46" i="1" s="1"/>
  <c r="H47" i="1"/>
  <c r="T47" i="1" s="1"/>
  <c r="I47" i="1"/>
  <c r="U47" i="1" s="1"/>
  <c r="J47" i="1"/>
  <c r="V47" i="1" s="1"/>
  <c r="K47" i="1"/>
  <c r="W47" i="1" s="1"/>
  <c r="H48" i="1"/>
  <c r="T48" i="1" s="1"/>
  <c r="I48" i="1"/>
  <c r="U48" i="1" s="1"/>
  <c r="J48" i="1"/>
  <c r="V48" i="1" s="1"/>
  <c r="K48" i="1"/>
  <c r="W48" i="1" s="1"/>
  <c r="H49" i="1"/>
  <c r="T49" i="1" s="1"/>
  <c r="I49" i="1"/>
  <c r="U49" i="1" s="1"/>
  <c r="J49" i="1"/>
  <c r="V49" i="1" s="1"/>
  <c r="K49" i="1"/>
  <c r="W49" i="1" s="1"/>
  <c r="H50" i="1"/>
  <c r="T50" i="1" s="1"/>
  <c r="I50" i="1"/>
  <c r="U50" i="1" s="1"/>
  <c r="J50" i="1"/>
  <c r="V50" i="1" s="1"/>
  <c r="K50" i="1"/>
  <c r="W50" i="1" s="1"/>
  <c r="H51" i="1"/>
  <c r="T51" i="1" s="1"/>
  <c r="I51" i="1"/>
  <c r="U51" i="1" s="1"/>
  <c r="J51" i="1"/>
  <c r="V51" i="1" s="1"/>
  <c r="K51" i="1"/>
  <c r="W51" i="1" s="1"/>
  <c r="H52" i="1"/>
  <c r="T52" i="1" s="1"/>
  <c r="I52" i="1"/>
  <c r="U52" i="1" s="1"/>
  <c r="J52" i="1"/>
  <c r="V52" i="1" s="1"/>
  <c r="K52" i="1"/>
  <c r="W52" i="1" s="1"/>
  <c r="H53" i="1"/>
  <c r="T53" i="1" s="1"/>
  <c r="I53" i="1"/>
  <c r="U53" i="1" s="1"/>
  <c r="J53" i="1"/>
  <c r="V53" i="1" s="1"/>
  <c r="K53" i="1"/>
  <c r="W53" i="1" s="1"/>
  <c r="H54" i="1"/>
  <c r="T54" i="1" s="1"/>
  <c r="I54" i="1"/>
  <c r="U54" i="1" s="1"/>
  <c r="J54" i="1"/>
  <c r="V54" i="1" s="1"/>
  <c r="K54" i="1"/>
  <c r="W54" i="1" s="1"/>
  <c r="H55" i="1"/>
  <c r="T55" i="1" s="1"/>
  <c r="I55" i="1"/>
  <c r="U55" i="1" s="1"/>
  <c r="J55" i="1"/>
  <c r="V55" i="1" s="1"/>
  <c r="K55" i="1"/>
  <c r="W55" i="1" s="1"/>
  <c r="H56" i="1"/>
  <c r="T56" i="1" s="1"/>
  <c r="I56" i="1"/>
  <c r="U56" i="1" s="1"/>
  <c r="J56" i="1"/>
  <c r="V56" i="1" s="1"/>
  <c r="K56" i="1"/>
  <c r="W56" i="1" s="1"/>
  <c r="H57" i="1"/>
  <c r="T57" i="1" s="1"/>
  <c r="I57" i="1"/>
  <c r="U57" i="1" s="1"/>
  <c r="J57" i="1"/>
  <c r="V57" i="1" s="1"/>
  <c r="K57" i="1"/>
  <c r="W57" i="1" s="1"/>
  <c r="H58" i="1"/>
  <c r="T58" i="1" s="1"/>
  <c r="I58" i="1"/>
  <c r="U58" i="1" s="1"/>
  <c r="J58" i="1"/>
  <c r="V58" i="1" s="1"/>
  <c r="K58" i="1"/>
  <c r="W58" i="1" s="1"/>
  <c r="H59" i="1"/>
  <c r="T59" i="1" s="1"/>
  <c r="I59" i="1"/>
  <c r="U59" i="1" s="1"/>
  <c r="J59" i="1"/>
  <c r="V59" i="1" s="1"/>
  <c r="K59" i="1"/>
  <c r="W59" i="1" s="1"/>
  <c r="H60" i="1"/>
  <c r="T60" i="1" s="1"/>
  <c r="I60" i="1"/>
  <c r="U60" i="1" s="1"/>
  <c r="J60" i="1"/>
  <c r="V60" i="1" s="1"/>
  <c r="K60" i="1"/>
  <c r="W60" i="1" s="1"/>
  <c r="H61" i="1"/>
  <c r="T61" i="1" s="1"/>
  <c r="I61" i="1"/>
  <c r="U61" i="1" s="1"/>
  <c r="J61" i="1"/>
  <c r="V61" i="1" s="1"/>
  <c r="K61" i="1"/>
  <c r="W61" i="1" s="1"/>
  <c r="H62" i="1"/>
  <c r="T62" i="1" s="1"/>
  <c r="I62" i="1"/>
  <c r="U62" i="1" s="1"/>
  <c r="J62" i="1"/>
  <c r="V62" i="1" s="1"/>
  <c r="K62" i="1"/>
  <c r="W62" i="1" s="1"/>
  <c r="H63" i="1"/>
  <c r="T63" i="1" s="1"/>
  <c r="I63" i="1"/>
  <c r="U63" i="1" s="1"/>
  <c r="J63" i="1"/>
  <c r="V63" i="1" s="1"/>
  <c r="K63" i="1"/>
  <c r="W63" i="1" s="1"/>
  <c r="H64" i="1"/>
  <c r="T64" i="1" s="1"/>
  <c r="I64" i="1"/>
  <c r="U64" i="1" s="1"/>
  <c r="J64" i="1"/>
  <c r="V64" i="1" s="1"/>
  <c r="K64" i="1"/>
  <c r="W64" i="1" s="1"/>
  <c r="H65" i="1"/>
  <c r="T65" i="1" s="1"/>
  <c r="I65" i="1"/>
  <c r="U65" i="1" s="1"/>
  <c r="J65" i="1"/>
  <c r="V65" i="1" s="1"/>
  <c r="K65" i="1"/>
  <c r="W65" i="1" s="1"/>
  <c r="H66" i="1"/>
  <c r="T66" i="1" s="1"/>
  <c r="I66" i="1"/>
  <c r="U66" i="1" s="1"/>
  <c r="J66" i="1"/>
  <c r="V66" i="1" s="1"/>
  <c r="K66" i="1"/>
  <c r="W66" i="1" s="1"/>
  <c r="H67" i="1"/>
  <c r="T67" i="1" s="1"/>
  <c r="I67" i="1"/>
  <c r="U67" i="1" s="1"/>
  <c r="J67" i="1"/>
  <c r="V67" i="1" s="1"/>
  <c r="K67" i="1"/>
  <c r="W67" i="1" s="1"/>
  <c r="H68" i="1"/>
  <c r="T68" i="1" s="1"/>
  <c r="I68" i="1"/>
  <c r="U68" i="1" s="1"/>
  <c r="J68" i="1"/>
  <c r="V68" i="1" s="1"/>
  <c r="K68" i="1"/>
  <c r="W68" i="1" s="1"/>
  <c r="H69" i="1"/>
  <c r="T69" i="1" s="1"/>
  <c r="I69" i="1"/>
  <c r="U69" i="1" s="1"/>
  <c r="J69" i="1"/>
  <c r="V69" i="1" s="1"/>
  <c r="K69" i="1"/>
  <c r="W69" i="1" s="1"/>
  <c r="H70" i="1"/>
  <c r="T70" i="1" s="1"/>
  <c r="I70" i="1"/>
  <c r="U70" i="1" s="1"/>
  <c r="J70" i="1"/>
  <c r="V70" i="1" s="1"/>
  <c r="K70" i="1"/>
  <c r="W70" i="1" s="1"/>
  <c r="H71" i="1"/>
  <c r="T71" i="1" s="1"/>
  <c r="I71" i="1"/>
  <c r="U71" i="1" s="1"/>
  <c r="J71" i="1"/>
  <c r="V71" i="1" s="1"/>
  <c r="K71" i="1"/>
  <c r="W71" i="1" s="1"/>
  <c r="H72" i="1"/>
  <c r="T72" i="1" s="1"/>
  <c r="I72" i="1"/>
  <c r="U72" i="1" s="1"/>
  <c r="J72" i="1"/>
  <c r="V72" i="1" s="1"/>
  <c r="K72" i="1"/>
  <c r="W72" i="1" s="1"/>
  <c r="H73" i="1"/>
  <c r="T73" i="1" s="1"/>
  <c r="I73" i="1"/>
  <c r="U73" i="1" s="1"/>
  <c r="J73" i="1"/>
  <c r="V73" i="1" s="1"/>
  <c r="K73" i="1"/>
  <c r="W73" i="1" s="1"/>
  <c r="H74" i="1"/>
  <c r="T74" i="1" s="1"/>
  <c r="I74" i="1"/>
  <c r="U74" i="1" s="1"/>
  <c r="J74" i="1"/>
  <c r="V74" i="1" s="1"/>
  <c r="K74" i="1"/>
  <c r="W74" i="1" s="1"/>
  <c r="H75" i="1"/>
  <c r="T75" i="1" s="1"/>
  <c r="I75" i="1"/>
  <c r="U75" i="1" s="1"/>
  <c r="J75" i="1"/>
  <c r="V75" i="1" s="1"/>
  <c r="K75" i="1"/>
  <c r="W75" i="1" s="1"/>
  <c r="H76" i="1"/>
  <c r="T76" i="1" s="1"/>
  <c r="I76" i="1"/>
  <c r="U76" i="1" s="1"/>
  <c r="J76" i="1"/>
  <c r="V76" i="1" s="1"/>
  <c r="K76" i="1"/>
  <c r="W76" i="1" s="1"/>
  <c r="H77" i="1"/>
  <c r="T77" i="1" s="1"/>
  <c r="I77" i="1"/>
  <c r="U77" i="1" s="1"/>
  <c r="J77" i="1"/>
  <c r="V77" i="1" s="1"/>
  <c r="K77" i="1"/>
  <c r="W77" i="1" s="1"/>
  <c r="H78" i="1"/>
  <c r="T78" i="1" s="1"/>
  <c r="I78" i="1"/>
  <c r="U78" i="1" s="1"/>
  <c r="J78" i="1"/>
  <c r="V78" i="1" s="1"/>
  <c r="K78" i="1"/>
  <c r="W78" i="1" s="1"/>
  <c r="H79" i="1"/>
  <c r="T79" i="1" s="1"/>
  <c r="I79" i="1"/>
  <c r="U79" i="1" s="1"/>
  <c r="J79" i="1"/>
  <c r="V79" i="1" s="1"/>
  <c r="K79" i="1"/>
  <c r="W79" i="1" s="1"/>
  <c r="H80" i="1"/>
  <c r="T80" i="1" s="1"/>
  <c r="I80" i="1"/>
  <c r="U80" i="1" s="1"/>
  <c r="J80" i="1"/>
  <c r="V80" i="1" s="1"/>
  <c r="K80" i="1"/>
  <c r="W80" i="1" s="1"/>
  <c r="H81" i="1"/>
  <c r="T81" i="1" s="1"/>
  <c r="I81" i="1"/>
  <c r="U81" i="1" s="1"/>
  <c r="J81" i="1"/>
  <c r="V81" i="1" s="1"/>
  <c r="K81" i="1"/>
  <c r="W81" i="1" s="1"/>
  <c r="H82" i="1"/>
  <c r="T82" i="1" s="1"/>
  <c r="I82" i="1"/>
  <c r="U82" i="1" s="1"/>
  <c r="J82" i="1"/>
  <c r="V82" i="1" s="1"/>
  <c r="K82" i="1"/>
  <c r="W82" i="1" s="1"/>
  <c r="H83" i="1"/>
  <c r="T83" i="1" s="1"/>
  <c r="I83" i="1"/>
  <c r="U83" i="1" s="1"/>
  <c r="J83" i="1"/>
  <c r="V83" i="1" s="1"/>
  <c r="K83" i="1"/>
  <c r="W83" i="1" s="1"/>
  <c r="H84" i="1"/>
  <c r="T84" i="1" s="1"/>
  <c r="I84" i="1"/>
  <c r="U84" i="1" s="1"/>
  <c r="J84" i="1"/>
  <c r="V84" i="1" s="1"/>
  <c r="K84" i="1"/>
  <c r="W84" i="1" s="1"/>
  <c r="H85" i="1"/>
  <c r="T85" i="1" s="1"/>
  <c r="I85" i="1"/>
  <c r="U85" i="1" s="1"/>
  <c r="J85" i="1"/>
  <c r="V85" i="1" s="1"/>
  <c r="K85" i="1"/>
  <c r="W85" i="1" s="1"/>
  <c r="H86" i="1"/>
  <c r="T86" i="1" s="1"/>
  <c r="I86" i="1"/>
  <c r="U86" i="1" s="1"/>
  <c r="J86" i="1"/>
  <c r="V86" i="1" s="1"/>
  <c r="K86" i="1"/>
  <c r="W86" i="1" s="1"/>
  <c r="H87" i="1"/>
  <c r="T87" i="1" s="1"/>
  <c r="I87" i="1"/>
  <c r="U87" i="1" s="1"/>
  <c r="J87" i="1"/>
  <c r="V87" i="1" s="1"/>
  <c r="K87" i="1"/>
  <c r="W87" i="1" s="1"/>
  <c r="H88" i="1"/>
  <c r="T88" i="1" s="1"/>
  <c r="I88" i="1"/>
  <c r="U88" i="1" s="1"/>
  <c r="J88" i="1"/>
  <c r="V88" i="1" s="1"/>
  <c r="K88" i="1"/>
  <c r="W88" i="1" s="1"/>
  <c r="H89" i="1"/>
  <c r="T89" i="1" s="1"/>
  <c r="I89" i="1"/>
  <c r="U89" i="1" s="1"/>
  <c r="J89" i="1"/>
  <c r="V89" i="1" s="1"/>
  <c r="K89" i="1"/>
  <c r="W89" i="1" s="1"/>
  <c r="H90" i="1"/>
  <c r="T90" i="1" s="1"/>
  <c r="I90" i="1"/>
  <c r="U90" i="1" s="1"/>
  <c r="J90" i="1"/>
  <c r="V90" i="1" s="1"/>
  <c r="K90" i="1"/>
  <c r="W90" i="1" s="1"/>
  <c r="H91" i="1"/>
  <c r="T91" i="1" s="1"/>
  <c r="I91" i="1"/>
  <c r="U91" i="1" s="1"/>
  <c r="J91" i="1"/>
  <c r="V91" i="1" s="1"/>
  <c r="K91" i="1"/>
  <c r="W91" i="1" s="1"/>
  <c r="H92" i="1"/>
  <c r="T92" i="1" s="1"/>
  <c r="I92" i="1"/>
  <c r="U92" i="1" s="1"/>
  <c r="J92" i="1"/>
  <c r="V92" i="1" s="1"/>
  <c r="K92" i="1"/>
  <c r="W92" i="1" s="1"/>
  <c r="H93" i="1"/>
  <c r="T93" i="1" s="1"/>
  <c r="I93" i="1"/>
  <c r="U93" i="1" s="1"/>
  <c r="J93" i="1"/>
  <c r="V93" i="1" s="1"/>
  <c r="K93" i="1"/>
  <c r="W93" i="1" s="1"/>
  <c r="H94" i="1"/>
  <c r="T94" i="1" s="1"/>
  <c r="I94" i="1"/>
  <c r="U94" i="1" s="1"/>
  <c r="J94" i="1"/>
  <c r="V94" i="1" s="1"/>
  <c r="K94" i="1"/>
  <c r="W94" i="1" s="1"/>
  <c r="H95" i="1"/>
  <c r="T95" i="1" s="1"/>
  <c r="I95" i="1"/>
  <c r="U95" i="1" s="1"/>
  <c r="J95" i="1"/>
  <c r="V95" i="1" s="1"/>
  <c r="K95" i="1"/>
  <c r="W95" i="1" s="1"/>
  <c r="H96" i="1"/>
  <c r="T96" i="1" s="1"/>
  <c r="I96" i="1"/>
  <c r="U96" i="1" s="1"/>
  <c r="J96" i="1"/>
  <c r="V96" i="1" s="1"/>
  <c r="K96" i="1"/>
  <c r="W96" i="1" s="1"/>
  <c r="H97" i="1"/>
  <c r="T97" i="1" s="1"/>
  <c r="I97" i="1"/>
  <c r="U97" i="1" s="1"/>
  <c r="J97" i="1"/>
  <c r="V97" i="1" s="1"/>
  <c r="K97" i="1"/>
  <c r="W97" i="1" s="1"/>
  <c r="H98" i="1"/>
  <c r="T98" i="1" s="1"/>
  <c r="I98" i="1"/>
  <c r="U98" i="1" s="1"/>
  <c r="J98" i="1"/>
  <c r="V98" i="1" s="1"/>
  <c r="K98" i="1"/>
  <c r="W98" i="1" s="1"/>
  <c r="H99" i="1"/>
  <c r="T99" i="1" s="1"/>
  <c r="I99" i="1"/>
  <c r="U99" i="1" s="1"/>
  <c r="J99" i="1"/>
  <c r="V99" i="1" s="1"/>
  <c r="K99" i="1"/>
  <c r="W99" i="1" s="1"/>
  <c r="H100" i="1"/>
  <c r="T100" i="1" s="1"/>
  <c r="I100" i="1"/>
  <c r="U100" i="1" s="1"/>
  <c r="J100" i="1"/>
  <c r="V100" i="1" s="1"/>
  <c r="K100" i="1"/>
  <c r="W100" i="1" s="1"/>
  <c r="H101" i="1"/>
  <c r="T101" i="1" s="1"/>
  <c r="I101" i="1"/>
  <c r="U101" i="1" s="1"/>
  <c r="J101" i="1"/>
  <c r="V101" i="1" s="1"/>
  <c r="K101" i="1"/>
  <c r="W101" i="1" s="1"/>
  <c r="H102" i="1"/>
  <c r="T102" i="1" s="1"/>
  <c r="I102" i="1"/>
  <c r="U102" i="1" s="1"/>
  <c r="J102" i="1"/>
  <c r="V102" i="1" s="1"/>
  <c r="K102" i="1"/>
  <c r="W102" i="1" s="1"/>
  <c r="H103" i="1"/>
  <c r="T103" i="1" s="1"/>
  <c r="I103" i="1"/>
  <c r="U103" i="1" s="1"/>
  <c r="J103" i="1"/>
  <c r="V103" i="1" s="1"/>
  <c r="K103" i="1"/>
  <c r="W103" i="1" s="1"/>
  <c r="H104" i="1"/>
  <c r="T104" i="1" s="1"/>
  <c r="I104" i="1"/>
  <c r="U104" i="1" s="1"/>
  <c r="J104" i="1"/>
  <c r="V104" i="1" s="1"/>
  <c r="K104" i="1"/>
  <c r="W104" i="1" s="1"/>
  <c r="H105" i="1"/>
  <c r="T105" i="1" s="1"/>
  <c r="I105" i="1"/>
  <c r="U105" i="1" s="1"/>
  <c r="J105" i="1"/>
  <c r="V105" i="1" s="1"/>
  <c r="K105" i="1"/>
  <c r="W105" i="1" s="1"/>
  <c r="H106" i="1"/>
  <c r="T106" i="1" s="1"/>
  <c r="I106" i="1"/>
  <c r="U106" i="1" s="1"/>
  <c r="J106" i="1"/>
  <c r="V106" i="1" s="1"/>
  <c r="K106" i="1"/>
  <c r="W106" i="1" s="1"/>
  <c r="H107" i="1"/>
  <c r="T107" i="1" s="1"/>
  <c r="I107" i="1"/>
  <c r="U107" i="1" s="1"/>
  <c r="J107" i="1"/>
  <c r="V107" i="1" s="1"/>
  <c r="K107" i="1"/>
  <c r="W107" i="1" s="1"/>
  <c r="H108" i="1"/>
  <c r="T108" i="1" s="1"/>
  <c r="I108" i="1"/>
  <c r="U108" i="1" s="1"/>
  <c r="J108" i="1"/>
  <c r="V108" i="1" s="1"/>
  <c r="K108" i="1"/>
  <c r="W108" i="1" s="1"/>
  <c r="H109" i="1"/>
  <c r="T109" i="1" s="1"/>
  <c r="I109" i="1"/>
  <c r="U109" i="1" s="1"/>
  <c r="J109" i="1"/>
  <c r="V109" i="1" s="1"/>
  <c r="K109" i="1"/>
  <c r="W109" i="1" s="1"/>
  <c r="H110" i="1"/>
  <c r="T110" i="1" s="1"/>
  <c r="I110" i="1"/>
  <c r="U110" i="1" s="1"/>
  <c r="J110" i="1"/>
  <c r="V110" i="1" s="1"/>
  <c r="K110" i="1"/>
  <c r="W110" i="1" s="1"/>
  <c r="H111" i="1"/>
  <c r="T111" i="1" s="1"/>
  <c r="I111" i="1"/>
  <c r="U111" i="1" s="1"/>
  <c r="J111" i="1"/>
  <c r="V111" i="1" s="1"/>
  <c r="K111" i="1"/>
  <c r="W111" i="1" s="1"/>
  <c r="H112" i="1"/>
  <c r="T112" i="1" s="1"/>
  <c r="I112" i="1"/>
  <c r="U112" i="1" s="1"/>
  <c r="J112" i="1"/>
  <c r="V112" i="1" s="1"/>
  <c r="K112" i="1"/>
  <c r="W112" i="1" s="1"/>
  <c r="H113" i="1"/>
  <c r="T113" i="1" s="1"/>
  <c r="I113" i="1"/>
  <c r="U113" i="1" s="1"/>
  <c r="J113" i="1"/>
  <c r="V113" i="1" s="1"/>
  <c r="K113" i="1"/>
  <c r="W113" i="1" s="1"/>
  <c r="H114" i="1"/>
  <c r="T114" i="1" s="1"/>
  <c r="I114" i="1"/>
  <c r="U114" i="1" s="1"/>
  <c r="J114" i="1"/>
  <c r="V114" i="1" s="1"/>
  <c r="K114" i="1"/>
  <c r="W114" i="1" s="1"/>
  <c r="H115" i="1"/>
  <c r="T115" i="1" s="1"/>
  <c r="I115" i="1"/>
  <c r="U115" i="1" s="1"/>
  <c r="J115" i="1"/>
  <c r="V115" i="1" s="1"/>
  <c r="K115" i="1"/>
  <c r="W115" i="1" s="1"/>
  <c r="H116" i="1"/>
  <c r="T116" i="1" s="1"/>
  <c r="I116" i="1"/>
  <c r="U116" i="1" s="1"/>
  <c r="J116" i="1"/>
  <c r="V116" i="1" s="1"/>
  <c r="K116" i="1"/>
  <c r="W116" i="1" s="1"/>
  <c r="H117" i="1"/>
  <c r="T117" i="1" s="1"/>
  <c r="I117" i="1"/>
  <c r="U117" i="1" s="1"/>
  <c r="J117" i="1"/>
  <c r="V117" i="1" s="1"/>
  <c r="K117" i="1"/>
  <c r="W117" i="1" s="1"/>
  <c r="H118" i="1"/>
  <c r="T118" i="1" s="1"/>
  <c r="I118" i="1"/>
  <c r="U118" i="1" s="1"/>
  <c r="J118" i="1"/>
  <c r="V118" i="1" s="1"/>
  <c r="K118" i="1"/>
  <c r="W118" i="1" s="1"/>
  <c r="H119" i="1"/>
  <c r="T119" i="1" s="1"/>
  <c r="I119" i="1"/>
  <c r="U119" i="1" s="1"/>
  <c r="J119" i="1"/>
  <c r="V119" i="1" s="1"/>
  <c r="K119" i="1"/>
  <c r="W119" i="1" s="1"/>
  <c r="H120" i="1"/>
  <c r="T120" i="1" s="1"/>
  <c r="I120" i="1"/>
  <c r="U120" i="1" s="1"/>
  <c r="J120" i="1"/>
  <c r="V120" i="1" s="1"/>
  <c r="K120" i="1"/>
  <c r="W120" i="1" s="1"/>
  <c r="H121" i="1"/>
  <c r="T121" i="1" s="1"/>
  <c r="I121" i="1"/>
  <c r="U121" i="1" s="1"/>
  <c r="J121" i="1"/>
  <c r="V121" i="1" s="1"/>
  <c r="K121" i="1"/>
  <c r="W121" i="1" s="1"/>
  <c r="H122" i="1"/>
  <c r="T122" i="1" s="1"/>
  <c r="I122" i="1"/>
  <c r="U122" i="1" s="1"/>
  <c r="J122" i="1"/>
  <c r="V122" i="1" s="1"/>
  <c r="K122" i="1"/>
  <c r="W122" i="1" s="1"/>
  <c r="H123" i="1"/>
  <c r="T123" i="1" s="1"/>
  <c r="I123" i="1"/>
  <c r="U123" i="1" s="1"/>
  <c r="J123" i="1"/>
  <c r="V123" i="1" s="1"/>
  <c r="K123" i="1"/>
  <c r="W123" i="1" s="1"/>
  <c r="H124" i="1"/>
  <c r="T124" i="1" s="1"/>
  <c r="I124" i="1"/>
  <c r="U124" i="1" s="1"/>
  <c r="J124" i="1"/>
  <c r="V124" i="1" s="1"/>
  <c r="K124" i="1"/>
  <c r="W124" i="1" s="1"/>
  <c r="H125" i="1"/>
  <c r="T125" i="1" s="1"/>
  <c r="I125" i="1"/>
  <c r="U125" i="1" s="1"/>
  <c r="J125" i="1"/>
  <c r="V125" i="1" s="1"/>
  <c r="K125" i="1"/>
  <c r="W125" i="1" s="1"/>
  <c r="H126" i="1"/>
  <c r="T126" i="1" s="1"/>
  <c r="I126" i="1"/>
  <c r="U126" i="1" s="1"/>
  <c r="J126" i="1"/>
  <c r="V126" i="1" s="1"/>
  <c r="K126" i="1"/>
  <c r="W126" i="1" s="1"/>
  <c r="H127" i="1"/>
  <c r="T127" i="1" s="1"/>
  <c r="I127" i="1"/>
  <c r="U127" i="1" s="1"/>
  <c r="J127" i="1"/>
  <c r="V127" i="1" s="1"/>
  <c r="K127" i="1"/>
  <c r="W127" i="1" s="1"/>
  <c r="H128" i="1"/>
  <c r="T128" i="1" s="1"/>
  <c r="I128" i="1"/>
  <c r="U128" i="1" s="1"/>
  <c r="J128" i="1"/>
  <c r="V128" i="1" s="1"/>
  <c r="K128" i="1"/>
  <c r="W128" i="1" s="1"/>
  <c r="H129" i="1"/>
  <c r="T129" i="1" s="1"/>
  <c r="I129" i="1"/>
  <c r="U129" i="1" s="1"/>
  <c r="J129" i="1"/>
  <c r="V129" i="1" s="1"/>
  <c r="K129" i="1"/>
  <c r="W129" i="1" s="1"/>
  <c r="H130" i="1"/>
  <c r="T130" i="1" s="1"/>
  <c r="I130" i="1"/>
  <c r="U130" i="1" s="1"/>
  <c r="J130" i="1"/>
  <c r="V130" i="1" s="1"/>
  <c r="K130" i="1"/>
  <c r="W130" i="1" s="1"/>
  <c r="H131" i="1"/>
  <c r="T131" i="1" s="1"/>
  <c r="I131" i="1"/>
  <c r="U131" i="1" s="1"/>
  <c r="J131" i="1"/>
  <c r="V131" i="1" s="1"/>
  <c r="K131" i="1"/>
  <c r="W131" i="1" s="1"/>
  <c r="H132" i="1"/>
  <c r="T132" i="1" s="1"/>
  <c r="I132" i="1"/>
  <c r="U132" i="1" s="1"/>
  <c r="J132" i="1"/>
  <c r="V132" i="1" s="1"/>
  <c r="K132" i="1"/>
  <c r="W132" i="1" s="1"/>
  <c r="H133" i="1"/>
  <c r="T133" i="1" s="1"/>
  <c r="I133" i="1"/>
  <c r="U133" i="1" s="1"/>
  <c r="J133" i="1"/>
  <c r="V133" i="1" s="1"/>
  <c r="K133" i="1"/>
  <c r="W133" i="1" s="1"/>
  <c r="H134" i="1"/>
  <c r="T134" i="1" s="1"/>
  <c r="I134" i="1"/>
  <c r="U134" i="1" s="1"/>
  <c r="J134" i="1"/>
  <c r="V134" i="1" s="1"/>
  <c r="K134" i="1"/>
  <c r="W134" i="1" s="1"/>
  <c r="H135" i="1"/>
  <c r="T135" i="1" s="1"/>
  <c r="I135" i="1"/>
  <c r="U135" i="1" s="1"/>
  <c r="J135" i="1"/>
  <c r="V135" i="1" s="1"/>
  <c r="K135" i="1"/>
  <c r="W135" i="1" s="1"/>
  <c r="H136" i="1"/>
  <c r="T136" i="1" s="1"/>
  <c r="I136" i="1"/>
  <c r="U136" i="1" s="1"/>
  <c r="J136" i="1"/>
  <c r="V136" i="1" s="1"/>
  <c r="K136" i="1"/>
  <c r="W136" i="1" s="1"/>
  <c r="H137" i="1"/>
  <c r="T137" i="1" s="1"/>
  <c r="I137" i="1"/>
  <c r="U137" i="1" s="1"/>
  <c r="J137" i="1"/>
  <c r="V137" i="1" s="1"/>
  <c r="K137" i="1"/>
  <c r="W137" i="1" s="1"/>
  <c r="H138" i="1"/>
  <c r="T138" i="1" s="1"/>
  <c r="I138" i="1"/>
  <c r="U138" i="1" s="1"/>
  <c r="J138" i="1"/>
  <c r="V138" i="1" s="1"/>
  <c r="K138" i="1"/>
  <c r="W138" i="1" s="1"/>
  <c r="H139" i="1"/>
  <c r="T139" i="1" s="1"/>
  <c r="I139" i="1"/>
  <c r="U139" i="1" s="1"/>
  <c r="J139" i="1"/>
  <c r="V139" i="1" s="1"/>
  <c r="K139" i="1"/>
  <c r="W139" i="1" s="1"/>
  <c r="H140" i="1"/>
  <c r="T140" i="1" s="1"/>
  <c r="I140" i="1"/>
  <c r="U140" i="1" s="1"/>
  <c r="J140" i="1"/>
  <c r="V140" i="1" s="1"/>
  <c r="K140" i="1"/>
  <c r="W140" i="1" s="1"/>
  <c r="H141" i="1"/>
  <c r="T141" i="1" s="1"/>
  <c r="I141" i="1"/>
  <c r="U141" i="1" s="1"/>
  <c r="J141" i="1"/>
  <c r="V141" i="1" s="1"/>
  <c r="K141" i="1"/>
  <c r="W141" i="1" s="1"/>
  <c r="H142" i="1"/>
  <c r="T142" i="1" s="1"/>
  <c r="I142" i="1"/>
  <c r="U142" i="1" s="1"/>
  <c r="J142" i="1"/>
  <c r="V142" i="1" s="1"/>
  <c r="K142" i="1"/>
  <c r="W142" i="1" s="1"/>
  <c r="H143" i="1"/>
  <c r="T143" i="1" s="1"/>
  <c r="I143" i="1"/>
  <c r="U143" i="1" s="1"/>
  <c r="J143" i="1"/>
  <c r="V143" i="1" s="1"/>
  <c r="K143" i="1"/>
  <c r="W143" i="1" s="1"/>
  <c r="H144" i="1"/>
  <c r="T144" i="1" s="1"/>
  <c r="I144" i="1"/>
  <c r="U144" i="1" s="1"/>
  <c r="J144" i="1"/>
  <c r="V144" i="1" s="1"/>
  <c r="K144" i="1"/>
  <c r="W144" i="1" s="1"/>
  <c r="H145" i="1"/>
  <c r="T145" i="1" s="1"/>
  <c r="I145" i="1"/>
  <c r="U145" i="1" s="1"/>
  <c r="J145" i="1"/>
  <c r="V145" i="1" s="1"/>
  <c r="K145" i="1"/>
  <c r="W145" i="1" s="1"/>
  <c r="H146" i="1"/>
  <c r="T146" i="1" s="1"/>
  <c r="I146" i="1"/>
  <c r="U146" i="1" s="1"/>
  <c r="J146" i="1"/>
  <c r="V146" i="1" s="1"/>
  <c r="K146" i="1"/>
  <c r="W146" i="1" s="1"/>
  <c r="H147" i="1"/>
  <c r="T147" i="1" s="1"/>
  <c r="I147" i="1"/>
  <c r="U147" i="1" s="1"/>
  <c r="J147" i="1"/>
  <c r="V147" i="1" s="1"/>
  <c r="K147" i="1"/>
  <c r="W147" i="1" s="1"/>
  <c r="H148" i="1"/>
  <c r="T148" i="1" s="1"/>
  <c r="I148" i="1"/>
  <c r="U148" i="1" s="1"/>
  <c r="J148" i="1"/>
  <c r="V148" i="1" s="1"/>
  <c r="K148" i="1"/>
  <c r="W148" i="1" s="1"/>
  <c r="H149" i="1"/>
  <c r="T149" i="1" s="1"/>
  <c r="I149" i="1"/>
  <c r="U149" i="1" s="1"/>
  <c r="J149" i="1"/>
  <c r="V149" i="1" s="1"/>
  <c r="K149" i="1"/>
  <c r="W149" i="1" s="1"/>
  <c r="H150" i="1"/>
  <c r="T150" i="1" s="1"/>
  <c r="I150" i="1"/>
  <c r="U150" i="1" s="1"/>
  <c r="J150" i="1"/>
  <c r="V150" i="1" s="1"/>
  <c r="K150" i="1"/>
  <c r="W150" i="1" s="1"/>
  <c r="H151" i="1"/>
  <c r="T151" i="1" s="1"/>
  <c r="I151" i="1"/>
  <c r="U151" i="1" s="1"/>
  <c r="J151" i="1"/>
  <c r="V151" i="1" s="1"/>
  <c r="K151" i="1"/>
  <c r="W151" i="1" s="1"/>
  <c r="H152" i="1"/>
  <c r="T152" i="1" s="1"/>
  <c r="I152" i="1"/>
  <c r="U152" i="1" s="1"/>
  <c r="J152" i="1"/>
  <c r="V152" i="1" s="1"/>
  <c r="K152" i="1"/>
  <c r="W152" i="1" s="1"/>
  <c r="H153" i="1"/>
  <c r="T153" i="1" s="1"/>
  <c r="I153" i="1"/>
  <c r="U153" i="1" s="1"/>
  <c r="J153" i="1"/>
  <c r="V153" i="1" s="1"/>
  <c r="K153" i="1"/>
  <c r="W153" i="1" s="1"/>
  <c r="H154" i="1"/>
  <c r="T154" i="1" s="1"/>
  <c r="I154" i="1"/>
  <c r="U154" i="1" s="1"/>
  <c r="J154" i="1"/>
  <c r="V154" i="1" s="1"/>
  <c r="K154" i="1"/>
  <c r="W154" i="1" s="1"/>
  <c r="H155" i="1"/>
  <c r="T155" i="1" s="1"/>
  <c r="I155" i="1"/>
  <c r="U155" i="1" s="1"/>
  <c r="J155" i="1"/>
  <c r="V155" i="1" s="1"/>
  <c r="K155" i="1"/>
  <c r="W155" i="1" s="1"/>
  <c r="H156" i="1"/>
  <c r="T156" i="1" s="1"/>
  <c r="I156" i="1"/>
  <c r="U156" i="1" s="1"/>
  <c r="J156" i="1"/>
  <c r="V156" i="1" s="1"/>
  <c r="K156" i="1"/>
  <c r="W156" i="1" s="1"/>
  <c r="H157" i="1"/>
  <c r="T157" i="1" s="1"/>
  <c r="I157" i="1"/>
  <c r="U157" i="1" s="1"/>
  <c r="J157" i="1"/>
  <c r="V157" i="1" s="1"/>
  <c r="K157" i="1"/>
  <c r="W157" i="1" s="1"/>
  <c r="H158" i="1"/>
  <c r="T158" i="1" s="1"/>
  <c r="I158" i="1"/>
  <c r="U158" i="1" s="1"/>
  <c r="J158" i="1"/>
  <c r="V158" i="1" s="1"/>
  <c r="K158" i="1"/>
  <c r="W158" i="1" s="1"/>
  <c r="H159" i="1"/>
  <c r="T159" i="1" s="1"/>
  <c r="I159" i="1"/>
  <c r="U159" i="1" s="1"/>
  <c r="J159" i="1"/>
  <c r="V159" i="1" s="1"/>
  <c r="K159" i="1"/>
  <c r="W159" i="1" s="1"/>
  <c r="H160" i="1"/>
  <c r="T160" i="1" s="1"/>
  <c r="I160" i="1"/>
  <c r="U160" i="1" s="1"/>
  <c r="J160" i="1"/>
  <c r="V160" i="1" s="1"/>
  <c r="K160" i="1"/>
  <c r="W160" i="1" s="1"/>
  <c r="H161" i="1"/>
  <c r="T161" i="1" s="1"/>
  <c r="I161" i="1"/>
  <c r="U161" i="1" s="1"/>
  <c r="J161" i="1"/>
  <c r="V161" i="1" s="1"/>
  <c r="K161" i="1"/>
  <c r="W161" i="1" s="1"/>
  <c r="H162" i="1"/>
  <c r="T162" i="1" s="1"/>
  <c r="I162" i="1"/>
  <c r="U162" i="1" s="1"/>
  <c r="J162" i="1"/>
  <c r="V162" i="1" s="1"/>
  <c r="K162" i="1"/>
  <c r="W162" i="1" s="1"/>
  <c r="H163" i="1"/>
  <c r="T163" i="1" s="1"/>
  <c r="I163" i="1"/>
  <c r="U163" i="1" s="1"/>
  <c r="J163" i="1"/>
  <c r="V163" i="1" s="1"/>
  <c r="K163" i="1"/>
  <c r="W163" i="1" s="1"/>
  <c r="H164" i="1"/>
  <c r="T164" i="1" s="1"/>
  <c r="I164" i="1"/>
  <c r="U164" i="1" s="1"/>
  <c r="J164" i="1"/>
  <c r="V164" i="1" s="1"/>
  <c r="K164" i="1"/>
  <c r="W164" i="1" s="1"/>
  <c r="H165" i="1"/>
  <c r="T165" i="1" s="1"/>
  <c r="I165" i="1"/>
  <c r="U165" i="1" s="1"/>
  <c r="J165" i="1"/>
  <c r="V165" i="1" s="1"/>
  <c r="K165" i="1"/>
  <c r="W165" i="1" s="1"/>
  <c r="H166" i="1"/>
  <c r="T166" i="1" s="1"/>
  <c r="I166" i="1"/>
  <c r="U166" i="1" s="1"/>
  <c r="J166" i="1"/>
  <c r="V166" i="1" s="1"/>
  <c r="K166" i="1"/>
  <c r="W166" i="1" s="1"/>
  <c r="H167" i="1"/>
  <c r="T167" i="1" s="1"/>
  <c r="I167" i="1"/>
  <c r="U167" i="1" s="1"/>
  <c r="J167" i="1"/>
  <c r="V167" i="1" s="1"/>
  <c r="K167" i="1"/>
  <c r="W167" i="1" s="1"/>
  <c r="H168" i="1"/>
  <c r="T168" i="1" s="1"/>
  <c r="I168" i="1"/>
  <c r="U168" i="1" s="1"/>
  <c r="J168" i="1"/>
  <c r="V168" i="1" s="1"/>
  <c r="K168" i="1"/>
  <c r="W168" i="1" s="1"/>
  <c r="H169" i="1"/>
  <c r="T169" i="1" s="1"/>
  <c r="I169" i="1"/>
  <c r="U169" i="1" s="1"/>
  <c r="J169" i="1"/>
  <c r="V169" i="1" s="1"/>
  <c r="K169" i="1"/>
  <c r="W169" i="1" s="1"/>
  <c r="H170" i="1"/>
  <c r="T170" i="1" s="1"/>
  <c r="I170" i="1"/>
  <c r="U170" i="1" s="1"/>
  <c r="J170" i="1"/>
  <c r="V170" i="1" s="1"/>
  <c r="K170" i="1"/>
  <c r="W170" i="1" s="1"/>
  <c r="H171" i="1"/>
  <c r="T171" i="1" s="1"/>
  <c r="I171" i="1"/>
  <c r="U171" i="1" s="1"/>
  <c r="J171" i="1"/>
  <c r="V171" i="1" s="1"/>
  <c r="K171" i="1"/>
  <c r="W171" i="1" s="1"/>
  <c r="H172" i="1"/>
  <c r="T172" i="1" s="1"/>
  <c r="I172" i="1"/>
  <c r="U172" i="1" s="1"/>
  <c r="J172" i="1"/>
  <c r="V172" i="1" s="1"/>
  <c r="K172" i="1"/>
  <c r="W172" i="1" s="1"/>
  <c r="H173" i="1"/>
  <c r="T173" i="1" s="1"/>
  <c r="I173" i="1"/>
  <c r="U173" i="1" s="1"/>
  <c r="J173" i="1"/>
  <c r="V173" i="1" s="1"/>
  <c r="K173" i="1"/>
  <c r="W173" i="1" s="1"/>
  <c r="H174" i="1"/>
  <c r="T174" i="1" s="1"/>
  <c r="I174" i="1"/>
  <c r="U174" i="1" s="1"/>
  <c r="J174" i="1"/>
  <c r="V174" i="1" s="1"/>
  <c r="K174" i="1"/>
  <c r="W174" i="1" s="1"/>
  <c r="H175" i="1"/>
  <c r="T175" i="1" s="1"/>
  <c r="I175" i="1"/>
  <c r="U175" i="1" s="1"/>
  <c r="J175" i="1"/>
  <c r="V175" i="1" s="1"/>
  <c r="K175" i="1"/>
  <c r="W175" i="1" s="1"/>
  <c r="H176" i="1"/>
  <c r="T176" i="1" s="1"/>
  <c r="I176" i="1"/>
  <c r="U176" i="1" s="1"/>
  <c r="J176" i="1"/>
  <c r="V176" i="1" s="1"/>
  <c r="K176" i="1"/>
  <c r="W176" i="1" s="1"/>
  <c r="H177" i="1"/>
  <c r="T177" i="1" s="1"/>
  <c r="I177" i="1"/>
  <c r="U177" i="1" s="1"/>
  <c r="J177" i="1"/>
  <c r="V177" i="1" s="1"/>
  <c r="K177" i="1"/>
  <c r="W177" i="1" s="1"/>
  <c r="H178" i="1"/>
  <c r="T178" i="1" s="1"/>
  <c r="I178" i="1"/>
  <c r="U178" i="1" s="1"/>
  <c r="J178" i="1"/>
  <c r="V178" i="1" s="1"/>
  <c r="K178" i="1"/>
  <c r="W178" i="1" s="1"/>
  <c r="H179" i="1"/>
  <c r="T179" i="1" s="1"/>
  <c r="I179" i="1"/>
  <c r="U179" i="1" s="1"/>
  <c r="J179" i="1"/>
  <c r="V179" i="1" s="1"/>
  <c r="K179" i="1"/>
  <c r="W179" i="1" s="1"/>
  <c r="H180" i="1"/>
  <c r="T180" i="1" s="1"/>
  <c r="I180" i="1"/>
  <c r="U180" i="1" s="1"/>
  <c r="J180" i="1"/>
  <c r="V180" i="1" s="1"/>
  <c r="K180" i="1"/>
  <c r="W180" i="1" s="1"/>
  <c r="H181" i="1"/>
  <c r="T181" i="1" s="1"/>
  <c r="I181" i="1"/>
  <c r="U181" i="1" s="1"/>
  <c r="J181" i="1"/>
  <c r="V181" i="1" s="1"/>
  <c r="K181" i="1"/>
  <c r="W181" i="1" s="1"/>
  <c r="H182" i="1"/>
  <c r="T182" i="1" s="1"/>
  <c r="I182" i="1"/>
  <c r="U182" i="1" s="1"/>
  <c r="J182" i="1"/>
  <c r="V182" i="1" s="1"/>
  <c r="K182" i="1"/>
  <c r="W182" i="1" s="1"/>
  <c r="H183" i="1"/>
  <c r="T183" i="1" s="1"/>
  <c r="I183" i="1"/>
  <c r="U183" i="1" s="1"/>
  <c r="J183" i="1"/>
  <c r="V183" i="1" s="1"/>
  <c r="K183" i="1"/>
  <c r="W183" i="1" s="1"/>
  <c r="H184" i="1"/>
  <c r="T184" i="1" s="1"/>
  <c r="I184" i="1"/>
  <c r="U184" i="1" s="1"/>
  <c r="J184" i="1"/>
  <c r="V184" i="1" s="1"/>
  <c r="K184" i="1"/>
  <c r="W184" i="1" s="1"/>
  <c r="H185" i="1"/>
  <c r="T185" i="1" s="1"/>
  <c r="I185" i="1"/>
  <c r="U185" i="1" s="1"/>
  <c r="J185" i="1"/>
  <c r="V185" i="1" s="1"/>
  <c r="K185" i="1"/>
  <c r="W185" i="1" s="1"/>
  <c r="H186" i="1"/>
  <c r="T186" i="1" s="1"/>
  <c r="I186" i="1"/>
  <c r="U186" i="1" s="1"/>
  <c r="J186" i="1"/>
  <c r="V186" i="1" s="1"/>
  <c r="K186" i="1"/>
  <c r="W186" i="1" s="1"/>
  <c r="H187" i="1"/>
  <c r="T187" i="1" s="1"/>
  <c r="I187" i="1"/>
  <c r="U187" i="1" s="1"/>
  <c r="J187" i="1"/>
  <c r="V187" i="1" s="1"/>
  <c r="K187" i="1"/>
  <c r="W187" i="1" s="1"/>
  <c r="H188" i="1"/>
  <c r="T188" i="1" s="1"/>
  <c r="I188" i="1"/>
  <c r="U188" i="1" s="1"/>
  <c r="J188" i="1"/>
  <c r="V188" i="1" s="1"/>
  <c r="K188" i="1"/>
  <c r="W188" i="1" s="1"/>
  <c r="H189" i="1"/>
  <c r="T189" i="1" s="1"/>
  <c r="I189" i="1"/>
  <c r="U189" i="1" s="1"/>
  <c r="J189" i="1"/>
  <c r="V189" i="1" s="1"/>
  <c r="K189" i="1"/>
  <c r="W189" i="1" s="1"/>
  <c r="H190" i="1"/>
  <c r="T190" i="1" s="1"/>
  <c r="I190" i="1"/>
  <c r="U190" i="1" s="1"/>
  <c r="J190" i="1"/>
  <c r="V190" i="1" s="1"/>
  <c r="K190" i="1"/>
  <c r="W190" i="1" s="1"/>
  <c r="H191" i="1"/>
  <c r="T191" i="1" s="1"/>
  <c r="I191" i="1"/>
  <c r="U191" i="1" s="1"/>
  <c r="J191" i="1"/>
  <c r="V191" i="1" s="1"/>
  <c r="K191" i="1"/>
  <c r="W191" i="1" s="1"/>
  <c r="H192" i="1"/>
  <c r="T192" i="1" s="1"/>
  <c r="I192" i="1"/>
  <c r="U192" i="1" s="1"/>
  <c r="J192" i="1"/>
  <c r="V192" i="1" s="1"/>
  <c r="K192" i="1"/>
  <c r="W192" i="1" s="1"/>
  <c r="H193" i="1"/>
  <c r="T193" i="1" s="1"/>
  <c r="I193" i="1"/>
  <c r="U193" i="1" s="1"/>
  <c r="J193" i="1"/>
  <c r="V193" i="1" s="1"/>
  <c r="K193" i="1"/>
  <c r="W193" i="1" s="1"/>
  <c r="H194" i="1"/>
  <c r="T194" i="1" s="1"/>
  <c r="I194" i="1"/>
  <c r="U194" i="1" s="1"/>
  <c r="J194" i="1"/>
  <c r="V194" i="1" s="1"/>
  <c r="K194" i="1"/>
  <c r="W194" i="1" s="1"/>
  <c r="H195" i="1"/>
  <c r="T195" i="1" s="1"/>
  <c r="I195" i="1"/>
  <c r="U195" i="1" s="1"/>
  <c r="J195" i="1"/>
  <c r="V195" i="1" s="1"/>
  <c r="K195" i="1"/>
  <c r="W195" i="1" s="1"/>
  <c r="H196" i="1"/>
  <c r="T196" i="1" s="1"/>
  <c r="I196" i="1"/>
  <c r="U196" i="1" s="1"/>
  <c r="J196" i="1"/>
  <c r="V196" i="1" s="1"/>
  <c r="K196" i="1"/>
  <c r="W196" i="1" s="1"/>
  <c r="H197" i="1"/>
  <c r="T197" i="1" s="1"/>
  <c r="I197" i="1"/>
  <c r="U197" i="1" s="1"/>
  <c r="J197" i="1"/>
  <c r="V197" i="1" s="1"/>
  <c r="K197" i="1"/>
  <c r="W197" i="1" s="1"/>
  <c r="K3" i="1"/>
  <c r="W3" i="1" s="1"/>
  <c r="J3" i="1"/>
  <c r="V3" i="1" s="1"/>
  <c r="I3" i="1"/>
  <c r="U3" i="1" s="1"/>
  <c r="H3" i="1"/>
  <c r="T3" i="1" s="1"/>
  <c r="F3" i="1"/>
  <c r="R3" i="1" s="1"/>
  <c r="C4" i="1"/>
  <c r="O4" i="1" s="1"/>
  <c r="C5" i="1"/>
  <c r="O5" i="1" s="1"/>
  <c r="C6" i="1"/>
  <c r="O6" i="1" s="1"/>
  <c r="C7" i="1"/>
  <c r="O7" i="1" s="1"/>
  <c r="C8" i="1"/>
  <c r="O8" i="1" s="1"/>
  <c r="C9" i="1"/>
  <c r="O9" i="1" s="1"/>
  <c r="C10" i="1"/>
  <c r="O10" i="1" s="1"/>
  <c r="C11" i="1"/>
  <c r="O11" i="1" s="1"/>
  <c r="C12" i="1"/>
  <c r="O12" i="1" s="1"/>
  <c r="C13" i="1"/>
  <c r="O13" i="1" s="1"/>
  <c r="C14" i="1"/>
  <c r="O14" i="1" s="1"/>
  <c r="C15" i="1"/>
  <c r="O15" i="1" s="1"/>
  <c r="C16" i="1"/>
  <c r="O16" i="1" s="1"/>
  <c r="C17" i="1"/>
  <c r="O17" i="1" s="1"/>
  <c r="C18" i="1"/>
  <c r="O18" i="1" s="1"/>
  <c r="C19" i="1"/>
  <c r="O19" i="1" s="1"/>
  <c r="C20" i="1"/>
  <c r="O20" i="1" s="1"/>
  <c r="C21" i="1"/>
  <c r="O21" i="1" s="1"/>
  <c r="C22" i="1"/>
  <c r="O22" i="1" s="1"/>
  <c r="C23" i="1"/>
  <c r="O23" i="1" s="1"/>
  <c r="C24" i="1"/>
  <c r="O24" i="1" s="1"/>
  <c r="C25" i="1"/>
  <c r="O25" i="1" s="1"/>
  <c r="C26" i="1"/>
  <c r="O26" i="1" s="1"/>
  <c r="C27" i="1"/>
  <c r="O27" i="1" s="1"/>
  <c r="C28" i="1"/>
  <c r="O28" i="1" s="1"/>
  <c r="C29" i="1"/>
  <c r="O29" i="1" s="1"/>
  <c r="C30" i="1"/>
  <c r="O30" i="1" s="1"/>
  <c r="C31" i="1"/>
  <c r="O31" i="1" s="1"/>
  <c r="C32" i="1"/>
  <c r="O32" i="1" s="1"/>
  <c r="C33" i="1"/>
  <c r="O33" i="1" s="1"/>
  <c r="C34" i="1"/>
  <c r="O34" i="1" s="1"/>
  <c r="C35" i="1"/>
  <c r="O35" i="1" s="1"/>
  <c r="C36" i="1"/>
  <c r="O36" i="1" s="1"/>
  <c r="C37" i="1"/>
  <c r="O37" i="1" s="1"/>
  <c r="C38" i="1"/>
  <c r="O38" i="1" s="1"/>
  <c r="C39" i="1"/>
  <c r="O39" i="1" s="1"/>
  <c r="C40" i="1"/>
  <c r="O40" i="1" s="1"/>
  <c r="C41" i="1"/>
  <c r="O41" i="1" s="1"/>
  <c r="C42" i="1"/>
  <c r="O42" i="1" s="1"/>
  <c r="C43" i="1"/>
  <c r="O43" i="1" s="1"/>
  <c r="C44" i="1"/>
  <c r="O44" i="1" s="1"/>
  <c r="C45" i="1"/>
  <c r="O45" i="1" s="1"/>
  <c r="C46" i="1"/>
  <c r="O46" i="1" s="1"/>
  <c r="C47" i="1"/>
  <c r="O47" i="1" s="1"/>
  <c r="C48" i="1"/>
  <c r="O48" i="1" s="1"/>
  <c r="C49" i="1"/>
  <c r="O49" i="1" s="1"/>
  <c r="C50" i="1"/>
  <c r="O50" i="1" s="1"/>
  <c r="C51" i="1"/>
  <c r="O51" i="1" s="1"/>
  <c r="C52" i="1"/>
  <c r="O52" i="1" s="1"/>
  <c r="C53" i="1"/>
  <c r="O53" i="1" s="1"/>
  <c r="C54" i="1"/>
  <c r="O54" i="1" s="1"/>
  <c r="C55" i="1"/>
  <c r="O55" i="1" s="1"/>
  <c r="C56" i="1"/>
  <c r="O56" i="1" s="1"/>
  <c r="C57" i="1"/>
  <c r="O57" i="1" s="1"/>
  <c r="C58" i="1"/>
  <c r="O58" i="1" s="1"/>
  <c r="C59" i="1"/>
  <c r="O59" i="1" s="1"/>
  <c r="C60" i="1"/>
  <c r="O60" i="1" s="1"/>
  <c r="C61" i="1"/>
  <c r="O61" i="1" s="1"/>
  <c r="C62" i="1"/>
  <c r="O62" i="1" s="1"/>
  <c r="C63" i="1"/>
  <c r="O63" i="1" s="1"/>
  <c r="C64" i="1"/>
  <c r="O64" i="1" s="1"/>
  <c r="C65" i="1"/>
  <c r="O65" i="1" s="1"/>
  <c r="C66" i="1"/>
  <c r="O66" i="1" s="1"/>
  <c r="C67" i="1"/>
  <c r="O67" i="1" s="1"/>
  <c r="C68" i="1"/>
  <c r="O68" i="1" s="1"/>
  <c r="C69" i="1"/>
  <c r="O69" i="1" s="1"/>
  <c r="C70" i="1"/>
  <c r="O70" i="1" s="1"/>
  <c r="C71" i="1"/>
  <c r="O71" i="1" s="1"/>
  <c r="C72" i="1"/>
  <c r="O72" i="1" s="1"/>
  <c r="C73" i="1"/>
  <c r="O73" i="1" s="1"/>
  <c r="C74" i="1"/>
  <c r="O74" i="1" s="1"/>
  <c r="C75" i="1"/>
  <c r="O75" i="1" s="1"/>
  <c r="C76" i="1"/>
  <c r="O76" i="1" s="1"/>
  <c r="C77" i="1"/>
  <c r="O77" i="1" s="1"/>
  <c r="C78" i="1"/>
  <c r="O78" i="1" s="1"/>
  <c r="C79" i="1"/>
  <c r="O79" i="1" s="1"/>
  <c r="C80" i="1"/>
  <c r="O80" i="1" s="1"/>
  <c r="C81" i="1"/>
  <c r="O81" i="1" s="1"/>
  <c r="C82" i="1"/>
  <c r="O82" i="1" s="1"/>
  <c r="C83" i="1"/>
  <c r="O83" i="1" s="1"/>
  <c r="C84" i="1"/>
  <c r="O84" i="1" s="1"/>
  <c r="C85" i="1"/>
  <c r="O85" i="1" s="1"/>
  <c r="C86" i="1"/>
  <c r="O86" i="1" s="1"/>
  <c r="C87" i="1"/>
  <c r="O87" i="1" s="1"/>
  <c r="C88" i="1"/>
  <c r="O88" i="1" s="1"/>
  <c r="C89" i="1"/>
  <c r="O89" i="1" s="1"/>
  <c r="C90" i="1"/>
  <c r="O90" i="1" s="1"/>
  <c r="C91" i="1"/>
  <c r="O91" i="1" s="1"/>
  <c r="C92" i="1"/>
  <c r="O92" i="1" s="1"/>
  <c r="C93" i="1"/>
  <c r="O93" i="1" s="1"/>
  <c r="C94" i="1"/>
  <c r="O94" i="1" s="1"/>
  <c r="C95" i="1"/>
  <c r="O95" i="1" s="1"/>
  <c r="C96" i="1"/>
  <c r="O96" i="1" s="1"/>
  <c r="C97" i="1"/>
  <c r="O97" i="1" s="1"/>
  <c r="C98" i="1"/>
  <c r="O98" i="1" s="1"/>
  <c r="C99" i="1"/>
  <c r="O99" i="1" s="1"/>
  <c r="C100" i="1"/>
  <c r="O100" i="1" s="1"/>
  <c r="C101" i="1"/>
  <c r="O101" i="1" s="1"/>
  <c r="C102" i="1"/>
  <c r="O102" i="1" s="1"/>
  <c r="C103" i="1"/>
  <c r="O103" i="1" s="1"/>
  <c r="C104" i="1"/>
  <c r="O104" i="1" s="1"/>
  <c r="C105" i="1"/>
  <c r="O105" i="1" s="1"/>
  <c r="C106" i="1"/>
  <c r="O106" i="1" s="1"/>
  <c r="C107" i="1"/>
  <c r="O107" i="1" s="1"/>
  <c r="C108" i="1"/>
  <c r="O108" i="1" s="1"/>
  <c r="C109" i="1"/>
  <c r="O109" i="1" s="1"/>
  <c r="C110" i="1"/>
  <c r="O110" i="1" s="1"/>
  <c r="C111" i="1"/>
  <c r="O111" i="1" s="1"/>
  <c r="C112" i="1"/>
  <c r="O112" i="1" s="1"/>
  <c r="C113" i="1"/>
  <c r="O113" i="1" s="1"/>
  <c r="C114" i="1"/>
  <c r="O114" i="1" s="1"/>
  <c r="C115" i="1"/>
  <c r="O115" i="1" s="1"/>
  <c r="C116" i="1"/>
  <c r="O116" i="1" s="1"/>
  <c r="C117" i="1"/>
  <c r="O117" i="1" s="1"/>
  <c r="C118" i="1"/>
  <c r="O118" i="1" s="1"/>
  <c r="C119" i="1"/>
  <c r="O119" i="1" s="1"/>
  <c r="C120" i="1"/>
  <c r="O120" i="1" s="1"/>
  <c r="C121" i="1"/>
  <c r="O121" i="1" s="1"/>
  <c r="C122" i="1"/>
  <c r="O122" i="1" s="1"/>
  <c r="C123" i="1"/>
  <c r="O123" i="1" s="1"/>
  <c r="C124" i="1"/>
  <c r="O124" i="1" s="1"/>
  <c r="C125" i="1"/>
  <c r="O125" i="1" s="1"/>
  <c r="C126" i="1"/>
  <c r="O126" i="1" s="1"/>
  <c r="C127" i="1"/>
  <c r="O127" i="1" s="1"/>
  <c r="C128" i="1"/>
  <c r="O128" i="1" s="1"/>
  <c r="C129" i="1"/>
  <c r="O129" i="1" s="1"/>
  <c r="C130" i="1"/>
  <c r="O130" i="1" s="1"/>
  <c r="C131" i="1"/>
  <c r="O131" i="1" s="1"/>
  <c r="C132" i="1"/>
  <c r="O132" i="1" s="1"/>
  <c r="C133" i="1"/>
  <c r="O133" i="1" s="1"/>
  <c r="C134" i="1"/>
  <c r="O134" i="1" s="1"/>
  <c r="C135" i="1"/>
  <c r="O135" i="1" s="1"/>
  <c r="C136" i="1"/>
  <c r="O136" i="1" s="1"/>
  <c r="C137" i="1"/>
  <c r="O137" i="1" s="1"/>
  <c r="C138" i="1"/>
  <c r="O138" i="1" s="1"/>
  <c r="C139" i="1"/>
  <c r="O139" i="1" s="1"/>
  <c r="C140" i="1"/>
  <c r="O140" i="1" s="1"/>
  <c r="C141" i="1"/>
  <c r="O141" i="1" s="1"/>
  <c r="C142" i="1"/>
  <c r="O142" i="1" s="1"/>
  <c r="C143" i="1"/>
  <c r="O143" i="1" s="1"/>
  <c r="C144" i="1"/>
  <c r="O144" i="1" s="1"/>
  <c r="C145" i="1"/>
  <c r="O145" i="1" s="1"/>
  <c r="C146" i="1"/>
  <c r="O146" i="1" s="1"/>
  <c r="C147" i="1"/>
  <c r="O147" i="1" s="1"/>
  <c r="C148" i="1"/>
  <c r="O148" i="1" s="1"/>
  <c r="C149" i="1"/>
  <c r="O149" i="1" s="1"/>
  <c r="C150" i="1"/>
  <c r="O150" i="1" s="1"/>
  <c r="C151" i="1"/>
  <c r="O151" i="1" s="1"/>
  <c r="C152" i="1"/>
  <c r="O152" i="1" s="1"/>
  <c r="C153" i="1"/>
  <c r="O153" i="1" s="1"/>
  <c r="C154" i="1"/>
  <c r="O154" i="1" s="1"/>
  <c r="C155" i="1"/>
  <c r="O155" i="1" s="1"/>
  <c r="C156" i="1"/>
  <c r="O156" i="1" s="1"/>
  <c r="C157" i="1"/>
  <c r="O157" i="1" s="1"/>
  <c r="C158" i="1"/>
  <c r="O158" i="1" s="1"/>
  <c r="C159" i="1"/>
  <c r="O159" i="1" s="1"/>
  <c r="C160" i="1"/>
  <c r="O160" i="1" s="1"/>
  <c r="C161" i="1"/>
  <c r="O161" i="1" s="1"/>
  <c r="C162" i="1"/>
  <c r="O162" i="1" s="1"/>
  <c r="C163" i="1"/>
  <c r="O163" i="1" s="1"/>
  <c r="C164" i="1"/>
  <c r="O164" i="1" s="1"/>
  <c r="C165" i="1"/>
  <c r="O165" i="1" s="1"/>
  <c r="C166" i="1"/>
  <c r="O166" i="1" s="1"/>
  <c r="C167" i="1"/>
  <c r="O167" i="1" s="1"/>
  <c r="C168" i="1"/>
  <c r="O168" i="1" s="1"/>
  <c r="C169" i="1"/>
  <c r="O169" i="1" s="1"/>
  <c r="C170" i="1"/>
  <c r="O170" i="1" s="1"/>
  <c r="C171" i="1"/>
  <c r="O171" i="1" s="1"/>
  <c r="C172" i="1"/>
  <c r="O172" i="1" s="1"/>
  <c r="C173" i="1"/>
  <c r="O173" i="1" s="1"/>
  <c r="C174" i="1"/>
  <c r="O174" i="1" s="1"/>
  <c r="C175" i="1"/>
  <c r="O175" i="1" s="1"/>
  <c r="C176" i="1"/>
  <c r="O176" i="1" s="1"/>
  <c r="C177" i="1"/>
  <c r="O177" i="1" s="1"/>
  <c r="C178" i="1"/>
  <c r="O178" i="1" s="1"/>
  <c r="C179" i="1"/>
  <c r="O179" i="1" s="1"/>
  <c r="C180" i="1"/>
  <c r="O180" i="1" s="1"/>
  <c r="C181" i="1"/>
  <c r="O181" i="1" s="1"/>
  <c r="C182" i="1"/>
  <c r="O182" i="1" s="1"/>
  <c r="C183" i="1"/>
  <c r="O183" i="1" s="1"/>
  <c r="C184" i="1"/>
  <c r="O184" i="1" s="1"/>
  <c r="C185" i="1"/>
  <c r="O185" i="1" s="1"/>
  <c r="C186" i="1"/>
  <c r="O186" i="1" s="1"/>
  <c r="C187" i="1"/>
  <c r="O187" i="1" s="1"/>
  <c r="C188" i="1"/>
  <c r="O188" i="1" s="1"/>
  <c r="C189" i="1"/>
  <c r="O189" i="1" s="1"/>
  <c r="C190" i="1"/>
  <c r="O190" i="1" s="1"/>
  <c r="C191" i="1"/>
  <c r="O191" i="1" s="1"/>
  <c r="C192" i="1"/>
  <c r="O192" i="1" s="1"/>
  <c r="C193" i="1"/>
  <c r="O193" i="1" s="1"/>
  <c r="C194" i="1"/>
  <c r="O194" i="1" s="1"/>
  <c r="C195" i="1"/>
  <c r="O195" i="1" s="1"/>
  <c r="C196" i="1"/>
  <c r="O196" i="1" s="1"/>
  <c r="C197" i="1"/>
  <c r="O197" i="1" s="1"/>
  <c r="C3" i="1"/>
  <c r="O3" i="1" s="1"/>
  <c r="M197" i="1"/>
  <c r="M4" i="1"/>
  <c r="M5" i="1"/>
  <c r="M8" i="1"/>
  <c r="M9" i="1"/>
  <c r="M10" i="1"/>
  <c r="M16" i="1"/>
  <c r="M17" i="1"/>
  <c r="M18" i="1"/>
  <c r="M19" i="1"/>
  <c r="M20" i="1"/>
  <c r="M21" i="1"/>
  <c r="M22" i="1"/>
  <c r="M28" i="1"/>
  <c r="M29" i="1"/>
  <c r="M30" i="1"/>
  <c r="M31" i="1"/>
  <c r="M32" i="1"/>
  <c r="M33" i="1"/>
  <c r="M34" i="1"/>
  <c r="M40" i="1"/>
  <c r="M41" i="1"/>
  <c r="M42" i="1"/>
  <c r="M43" i="1"/>
  <c r="M44" i="1"/>
  <c r="M45" i="1"/>
  <c r="M46" i="1"/>
  <c r="M52" i="1"/>
  <c r="M53" i="1"/>
  <c r="M54" i="1"/>
  <c r="M56" i="1"/>
  <c r="M57" i="1"/>
  <c r="M58" i="1"/>
  <c r="M59" i="1"/>
  <c r="M64" i="1"/>
  <c r="M65" i="1"/>
  <c r="M67" i="1"/>
  <c r="M68" i="1"/>
  <c r="M69" i="1"/>
  <c r="M70" i="1"/>
  <c r="M71" i="1"/>
  <c r="M72" i="1"/>
  <c r="M76" i="1"/>
  <c r="M77" i="1"/>
  <c r="M79" i="1"/>
  <c r="M80" i="1"/>
  <c r="M81" i="1"/>
  <c r="M82" i="1"/>
  <c r="M83" i="1"/>
  <c r="M84" i="1"/>
  <c r="M85" i="1"/>
  <c r="M88" i="1"/>
  <c r="M89" i="1"/>
  <c r="M91" i="1"/>
  <c r="M92" i="1"/>
  <c r="M93" i="1"/>
  <c r="M94" i="1"/>
  <c r="M95" i="1"/>
  <c r="M96" i="1"/>
  <c r="M97" i="1"/>
  <c r="M98" i="1"/>
  <c r="M100" i="1"/>
  <c r="M101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3" i="1"/>
  <c r="M83" i="2" l="1"/>
  <c r="M27" i="2"/>
  <c r="M52" i="2"/>
  <c r="M26" i="2"/>
  <c r="M7" i="2"/>
  <c r="M58" i="2"/>
  <c r="M4" i="2"/>
  <c r="M10" i="2"/>
  <c r="M80" i="2"/>
  <c r="M74" i="2"/>
  <c r="M78" i="2"/>
  <c r="M15" i="2"/>
  <c r="M23" i="2"/>
  <c r="M11" i="2"/>
  <c r="M62" i="2"/>
  <c r="M5" i="2"/>
  <c r="M60" i="2"/>
  <c r="M36" i="2"/>
  <c r="M72" i="2"/>
  <c r="M28" i="2"/>
  <c r="M51" i="2"/>
  <c r="M81" i="2"/>
  <c r="M46" i="2"/>
  <c r="M33" i="2"/>
  <c r="M45" i="2"/>
  <c r="M55" i="2"/>
  <c r="M66" i="2"/>
  <c r="M24" i="2"/>
  <c r="M8" i="2"/>
  <c r="M29" i="2"/>
  <c r="M31" i="2"/>
  <c r="M39" i="2"/>
  <c r="M63" i="2"/>
  <c r="M69" i="2"/>
  <c r="M53" i="2"/>
  <c r="M64" i="2"/>
  <c r="M71" i="2"/>
  <c r="M76" i="2"/>
  <c r="E52" i="2"/>
  <c r="E81" i="2"/>
  <c r="Q81" i="2" s="1"/>
  <c r="E37" i="2"/>
  <c r="E54" i="2"/>
  <c r="Q54" i="2" s="1"/>
  <c r="E73" i="2"/>
  <c r="Q73" i="2" s="1"/>
  <c r="E49" i="2"/>
  <c r="Q49" i="2" s="1"/>
  <c r="E10" i="2"/>
  <c r="E28" i="2"/>
  <c r="E14" i="2"/>
  <c r="E60" i="2"/>
  <c r="Q60" i="2" s="1"/>
  <c r="E76" i="2"/>
  <c r="E66" i="2"/>
  <c r="E50" i="2"/>
  <c r="E30" i="2"/>
  <c r="E25" i="2"/>
  <c r="E48" i="2"/>
  <c r="E16" i="2"/>
  <c r="Q16" i="2" s="1"/>
  <c r="E78" i="2"/>
  <c r="Q78" i="2" s="1"/>
  <c r="E29" i="2"/>
  <c r="Q29" i="2" s="1"/>
  <c r="E21" i="2"/>
  <c r="E69" i="2"/>
  <c r="E79" i="2"/>
  <c r="E75" i="2"/>
  <c r="E71" i="2"/>
  <c r="Q71" i="2" s="1"/>
  <c r="E67" i="2"/>
  <c r="E63" i="2"/>
  <c r="E59" i="2"/>
  <c r="Q59" i="2" s="1"/>
  <c r="E55" i="2"/>
  <c r="Q55" i="2" s="1"/>
  <c r="E51" i="2"/>
  <c r="Q51" i="2" s="1"/>
  <c r="E47" i="2"/>
  <c r="Q47" i="2" s="1"/>
  <c r="E43" i="2"/>
  <c r="Q43" i="2" s="1"/>
  <c r="E39" i="2"/>
  <c r="Q39" i="2" s="1"/>
  <c r="E35" i="2"/>
  <c r="E31" i="2"/>
  <c r="E27" i="2"/>
  <c r="E23" i="2"/>
  <c r="Q23" i="2" s="1"/>
  <c r="E19" i="2"/>
  <c r="E15" i="2"/>
  <c r="Q15" i="2" s="1"/>
  <c r="E11" i="2"/>
  <c r="Q11" i="2" s="1"/>
  <c r="E7" i="2"/>
  <c r="Q7" i="2" s="1"/>
  <c r="E3" i="2"/>
  <c r="Q3" i="2" s="1"/>
  <c r="E83" i="2"/>
  <c r="E65" i="2"/>
  <c r="E46" i="2"/>
  <c r="E44" i="2"/>
  <c r="Q44" i="2" s="1"/>
  <c r="E17" i="2"/>
  <c r="Q17" i="2" s="1"/>
  <c r="E5" i="2"/>
  <c r="E61" i="2"/>
  <c r="Q61" i="2" s="1"/>
  <c r="E42" i="2"/>
  <c r="Q42" i="2" s="1"/>
  <c r="E40" i="2"/>
  <c r="Q40" i="2" s="1"/>
  <c r="E13" i="2"/>
  <c r="E82" i="2"/>
  <c r="E80" i="2"/>
  <c r="Q80" i="2" s="1"/>
  <c r="E53" i="2"/>
  <c r="Q53" i="2" s="1"/>
  <c r="E34" i="2"/>
  <c r="Q34" i="2" s="1"/>
  <c r="E32" i="2"/>
  <c r="Q32" i="2" s="1"/>
  <c r="E57" i="2"/>
  <c r="Q57" i="2" s="1"/>
  <c r="E38" i="2"/>
  <c r="E36" i="2"/>
  <c r="E9" i="2"/>
  <c r="E74" i="2"/>
  <c r="E72" i="2"/>
  <c r="E45" i="2"/>
  <c r="E26" i="2"/>
  <c r="Q26" i="2" s="1"/>
  <c r="E24" i="2"/>
  <c r="E70" i="2"/>
  <c r="Q70" i="2" s="1"/>
  <c r="E68" i="2"/>
  <c r="Q68" i="2" s="1"/>
  <c r="E41" i="2"/>
  <c r="Q41" i="2" s="1"/>
  <c r="E22" i="2"/>
  <c r="E58" i="2"/>
  <c r="E8" i="2"/>
  <c r="Q8" i="2" s="1"/>
  <c r="E33" i="2"/>
  <c r="Q33" i="2" s="1"/>
  <c r="E64" i="2"/>
  <c r="E6" i="2"/>
  <c r="Q6" i="2" s="1"/>
  <c r="E62" i="2"/>
  <c r="E20" i="2"/>
  <c r="Q20" i="2" s="1"/>
  <c r="E4" i="2"/>
  <c r="E12" i="2"/>
  <c r="Q12" i="2" s="1"/>
  <c r="E18" i="2"/>
  <c r="Q18" i="2" s="1"/>
  <c r="E56" i="2"/>
  <c r="Q56" i="2" s="1"/>
  <c r="E77" i="2"/>
  <c r="C1" i="1"/>
  <c r="E3" i="1" s="1"/>
  <c r="Q3" i="1" s="1"/>
  <c r="X3" i="1" l="1"/>
  <c r="Y3" i="1" s="1"/>
  <c r="X57" i="2"/>
  <c r="Y57" i="2" s="1"/>
  <c r="X41" i="2"/>
  <c r="Y41" i="2" s="1"/>
  <c r="X39" i="2"/>
  <c r="Y39" i="2" s="1"/>
  <c r="X18" i="2"/>
  <c r="Y18" i="2" s="1"/>
  <c r="X34" i="2"/>
  <c r="Y34" i="2" s="1"/>
  <c r="X29" i="2"/>
  <c r="Y29" i="2" s="1"/>
  <c r="X12" i="2"/>
  <c r="Y12" i="2" s="1"/>
  <c r="X53" i="2"/>
  <c r="Y53" i="2" s="1"/>
  <c r="X47" i="2"/>
  <c r="Y47" i="2" s="1"/>
  <c r="X78" i="2"/>
  <c r="Y78" i="2" s="1"/>
  <c r="X80" i="2"/>
  <c r="Y80" i="2" s="1"/>
  <c r="X51" i="2"/>
  <c r="Y51" i="2" s="1"/>
  <c r="X73" i="2"/>
  <c r="Y73" i="2" s="1"/>
  <c r="X20" i="2"/>
  <c r="Y20" i="2" s="1"/>
  <c r="X26" i="2"/>
  <c r="Y26" i="2" s="1"/>
  <c r="X7" i="2"/>
  <c r="Y7" i="2" s="1"/>
  <c r="X55" i="2"/>
  <c r="Y55" i="2" s="1"/>
  <c r="X54" i="2"/>
  <c r="Y54" i="2" s="1"/>
  <c r="X11" i="2"/>
  <c r="Y11" i="2" s="1"/>
  <c r="X59" i="2"/>
  <c r="Y59" i="2" s="1"/>
  <c r="X6" i="2"/>
  <c r="Y6" i="2" s="1"/>
  <c r="X40" i="2"/>
  <c r="Y40" i="2" s="1"/>
  <c r="X15" i="2"/>
  <c r="Y15" i="2" s="1"/>
  <c r="X81" i="2"/>
  <c r="Y81" i="2" s="1"/>
  <c r="X42" i="2"/>
  <c r="Y42" i="2" s="1"/>
  <c r="X17" i="2"/>
  <c r="Y17" i="2" s="1"/>
  <c r="X60" i="2"/>
  <c r="Y60" i="2" s="1"/>
  <c r="X44" i="2"/>
  <c r="Y44" i="2" s="1"/>
  <c r="X56" i="2"/>
  <c r="Y56" i="2" s="1"/>
  <c r="X32" i="2"/>
  <c r="Y32" i="2" s="1"/>
  <c r="X68" i="2"/>
  <c r="Y68" i="2" s="1"/>
  <c r="X43" i="2"/>
  <c r="Y43" i="2" s="1"/>
  <c r="X70" i="2"/>
  <c r="Y70" i="2" s="1"/>
  <c r="X49" i="2"/>
  <c r="Y49" i="2" s="1"/>
  <c r="X16" i="2"/>
  <c r="Y16" i="2" s="1"/>
  <c r="X33" i="2"/>
  <c r="Y33" i="2" s="1"/>
  <c r="X61" i="2"/>
  <c r="Y61" i="2" s="1"/>
  <c r="X23" i="2"/>
  <c r="Y23" i="2" s="1"/>
  <c r="X71" i="2"/>
  <c r="Y71" i="2" s="1"/>
  <c r="X8" i="2"/>
  <c r="Y8" i="2" s="1"/>
  <c r="X3" i="2"/>
  <c r="Y3" i="2" s="1"/>
  <c r="Q4" i="2"/>
  <c r="Q63" i="2"/>
  <c r="Q52" i="2"/>
  <c r="Q37" i="2"/>
  <c r="Q82" i="2"/>
  <c r="Q5" i="2"/>
  <c r="Q19" i="2"/>
  <c r="Q67" i="2"/>
  <c r="Q48" i="2"/>
  <c r="Q24" i="2"/>
  <c r="Q9" i="2"/>
  <c r="Q27" i="2"/>
  <c r="Q75" i="2"/>
  <c r="Q30" i="2"/>
  <c r="Q14" i="2"/>
  <c r="Q64" i="2"/>
  <c r="Q45" i="2"/>
  <c r="Q36" i="2"/>
  <c r="Q13" i="2"/>
  <c r="Q46" i="2"/>
  <c r="Q31" i="2"/>
  <c r="Q79" i="2"/>
  <c r="Q50" i="2"/>
  <c r="Q28" i="2"/>
  <c r="Q21" i="2"/>
  <c r="Q25" i="2"/>
  <c r="Q58" i="2"/>
  <c r="Q72" i="2"/>
  <c r="Q38" i="2"/>
  <c r="Q65" i="2"/>
  <c r="Q35" i="2"/>
  <c r="Q66" i="2"/>
  <c r="Q10" i="2"/>
  <c r="Q77" i="2"/>
  <c r="Q62" i="2"/>
  <c r="Q22" i="2"/>
  <c r="Q74" i="2"/>
  <c r="Q83" i="2"/>
  <c r="Q69" i="2"/>
  <c r="Q76" i="2"/>
  <c r="E5" i="1"/>
  <c r="Q5" i="1" s="1"/>
  <c r="E152" i="1"/>
  <c r="Q152" i="1" s="1"/>
  <c r="E154" i="1"/>
  <c r="Q154" i="1" s="1"/>
  <c r="X154" i="1" s="1"/>
  <c r="E178" i="1"/>
  <c r="Q178" i="1" s="1"/>
  <c r="E143" i="1"/>
  <c r="Q143" i="1" s="1"/>
  <c r="E155" i="1"/>
  <c r="Q155" i="1" s="1"/>
  <c r="E102" i="1"/>
  <c r="Q102" i="1" s="1"/>
  <c r="E91" i="1"/>
  <c r="Q91" i="1" s="1"/>
  <c r="E75" i="1"/>
  <c r="Q75" i="1" s="1"/>
  <c r="E25" i="1"/>
  <c r="Q25" i="1" s="1"/>
  <c r="E65" i="1"/>
  <c r="Q65" i="1" s="1"/>
  <c r="E77" i="1"/>
  <c r="Q77" i="1" s="1"/>
  <c r="E79" i="1"/>
  <c r="Q79" i="1" s="1"/>
  <c r="E40" i="1"/>
  <c r="Q40" i="1" s="1"/>
  <c r="E19" i="1"/>
  <c r="Q19" i="1" s="1"/>
  <c r="E116" i="1"/>
  <c r="Q116" i="1" s="1"/>
  <c r="E85" i="1"/>
  <c r="Q85" i="1" s="1"/>
  <c r="E17" i="1"/>
  <c r="Q17" i="1" s="1"/>
  <c r="E66" i="1"/>
  <c r="Q66" i="1" s="1"/>
  <c r="E90" i="1"/>
  <c r="Q90" i="1" s="1"/>
  <c r="E169" i="1"/>
  <c r="Q169" i="1" s="1"/>
  <c r="E28" i="1"/>
  <c r="Q28" i="1" s="1"/>
  <c r="E39" i="1"/>
  <c r="Q39" i="1" s="1"/>
  <c r="E103" i="1"/>
  <c r="Q103" i="1" s="1"/>
  <c r="E115" i="1"/>
  <c r="Q115" i="1" s="1"/>
  <c r="E128" i="1"/>
  <c r="Q128" i="1" s="1"/>
  <c r="E109" i="1"/>
  <c r="Q109" i="1" s="1"/>
  <c r="E167" i="1"/>
  <c r="Q167" i="1" s="1"/>
  <c r="E67" i="1"/>
  <c r="Q67" i="1" s="1"/>
  <c r="E32" i="1"/>
  <c r="Q32" i="1" s="1"/>
  <c r="E9" i="1"/>
  <c r="Q9" i="1" s="1"/>
  <c r="E145" i="1"/>
  <c r="Q145" i="1" s="1"/>
  <c r="E57" i="1"/>
  <c r="Q57" i="1" s="1"/>
  <c r="E114" i="1"/>
  <c r="Q114" i="1" s="1"/>
  <c r="E182" i="1"/>
  <c r="Q182" i="1" s="1"/>
  <c r="E64" i="1"/>
  <c r="Q64" i="1" s="1"/>
  <c r="E101" i="1"/>
  <c r="Q101" i="1" s="1"/>
  <c r="E81" i="1"/>
  <c r="Q81" i="1" s="1"/>
  <c r="E126" i="1"/>
  <c r="Q126" i="1" s="1"/>
  <c r="E183" i="1"/>
  <c r="Q183" i="1" s="1"/>
  <c r="E27" i="1"/>
  <c r="Q27" i="1" s="1"/>
  <c r="E76" i="1"/>
  <c r="Q76" i="1" s="1"/>
  <c r="E151" i="1"/>
  <c r="Q151" i="1" s="1"/>
  <c r="E14" i="1"/>
  <c r="Q14" i="1" s="1"/>
  <c r="E138" i="1"/>
  <c r="Q138" i="1" s="1"/>
  <c r="E21" i="1"/>
  <c r="Q21" i="1" s="1"/>
  <c r="E86" i="1"/>
  <c r="Q86" i="1" s="1"/>
  <c r="E60" i="1"/>
  <c r="Q60" i="1" s="1"/>
  <c r="E88" i="1"/>
  <c r="Q88" i="1" s="1"/>
  <c r="E158" i="1"/>
  <c r="Q158" i="1" s="1"/>
  <c r="E125" i="1"/>
  <c r="Q125" i="1" s="1"/>
  <c r="E8" i="1"/>
  <c r="Q8" i="1" s="1"/>
  <c r="E105" i="1"/>
  <c r="Q105" i="1" s="1"/>
  <c r="E122" i="1"/>
  <c r="Q122" i="1" s="1"/>
  <c r="E31" i="1"/>
  <c r="Q31" i="1" s="1"/>
  <c r="E153" i="1"/>
  <c r="Q153" i="1" s="1"/>
  <c r="E11" i="1"/>
  <c r="Q11" i="1" s="1"/>
  <c r="E72" i="1"/>
  <c r="Q72" i="1" s="1"/>
  <c r="E100" i="1"/>
  <c r="Q100" i="1" s="1"/>
  <c r="E51" i="1"/>
  <c r="Q51" i="1" s="1"/>
  <c r="E137" i="1"/>
  <c r="Q137" i="1" s="1"/>
  <c r="E44" i="1"/>
  <c r="Q44" i="1" s="1"/>
  <c r="E117" i="1"/>
  <c r="Q117" i="1" s="1"/>
  <c r="E170" i="1"/>
  <c r="Q170" i="1" s="1"/>
  <c r="E139" i="1"/>
  <c r="Q139" i="1" s="1"/>
  <c r="E22" i="1"/>
  <c r="Q22" i="1" s="1"/>
  <c r="E23" i="1"/>
  <c r="Q23" i="1" s="1"/>
  <c r="E96" i="1"/>
  <c r="Q96" i="1" s="1"/>
  <c r="E49" i="1"/>
  <c r="Q49" i="1" s="1"/>
  <c r="E147" i="1"/>
  <c r="Q147" i="1" s="1"/>
  <c r="E179" i="1"/>
  <c r="Q179" i="1" s="1"/>
  <c r="E33" i="1"/>
  <c r="Q33" i="1" s="1"/>
  <c r="E127" i="1"/>
  <c r="Q127" i="1" s="1"/>
  <c r="E181" i="1"/>
  <c r="Q181" i="1" s="1"/>
  <c r="E191" i="1"/>
  <c r="Q191" i="1" s="1"/>
  <c r="E46" i="1"/>
  <c r="Q46" i="1" s="1"/>
  <c r="E113" i="1"/>
  <c r="Q113" i="1" s="1"/>
  <c r="E93" i="1"/>
  <c r="Q93" i="1" s="1"/>
  <c r="E112" i="1"/>
  <c r="Q112" i="1" s="1"/>
  <c r="E99" i="1"/>
  <c r="Q99" i="1" s="1"/>
  <c r="E149" i="1"/>
  <c r="Q149" i="1" s="1"/>
  <c r="E68" i="1"/>
  <c r="Q68" i="1" s="1"/>
  <c r="E129" i="1"/>
  <c r="Q129" i="1" s="1"/>
  <c r="E15" i="1"/>
  <c r="Q15" i="1" s="1"/>
  <c r="E164" i="1"/>
  <c r="Q164" i="1" s="1"/>
  <c r="E166" i="1"/>
  <c r="Q166" i="1" s="1"/>
  <c r="E35" i="1"/>
  <c r="Q35" i="1" s="1"/>
  <c r="E108" i="1"/>
  <c r="Q108" i="1" s="1"/>
  <c r="E124" i="1"/>
  <c r="Q124" i="1" s="1"/>
  <c r="E135" i="1"/>
  <c r="Q135" i="1" s="1"/>
  <c r="E161" i="1"/>
  <c r="Q161" i="1" s="1"/>
  <c r="E80" i="1"/>
  <c r="Q80" i="1" s="1"/>
  <c r="E58" i="1"/>
  <c r="Q58" i="1" s="1"/>
  <c r="E111" i="1"/>
  <c r="Q111" i="1" s="1"/>
  <c r="E45" i="1"/>
  <c r="Q45" i="1" s="1"/>
  <c r="E190" i="1"/>
  <c r="Q190" i="1" s="1"/>
  <c r="E47" i="1"/>
  <c r="Q47" i="1" s="1"/>
  <c r="E120" i="1"/>
  <c r="Q120" i="1" s="1"/>
  <c r="E172" i="1"/>
  <c r="Q172" i="1" s="1"/>
  <c r="E159" i="1"/>
  <c r="Q159" i="1" s="1"/>
  <c r="E7" i="1"/>
  <c r="Q7" i="1" s="1"/>
  <c r="E92" i="1"/>
  <c r="Q92" i="1" s="1"/>
  <c r="E82" i="1"/>
  <c r="Q82" i="1" s="1"/>
  <c r="E171" i="1"/>
  <c r="Q171" i="1" s="1"/>
  <c r="E189" i="1"/>
  <c r="Q189" i="1" s="1"/>
  <c r="E37" i="1"/>
  <c r="Q37" i="1" s="1"/>
  <c r="E107" i="1"/>
  <c r="Q107" i="1" s="1"/>
  <c r="E132" i="1"/>
  <c r="Q132" i="1" s="1"/>
  <c r="E184" i="1"/>
  <c r="Q184" i="1" s="1"/>
  <c r="E195" i="1"/>
  <c r="Q195" i="1" s="1"/>
  <c r="E43" i="1"/>
  <c r="Q43" i="1" s="1"/>
  <c r="E104" i="1"/>
  <c r="Q104" i="1" s="1"/>
  <c r="E130" i="1"/>
  <c r="Q130" i="1" s="1"/>
  <c r="E54" i="1"/>
  <c r="Q54" i="1" s="1"/>
  <c r="E34" i="1"/>
  <c r="Q34" i="1" s="1"/>
  <c r="E61" i="1"/>
  <c r="Q61" i="1" s="1"/>
  <c r="E119" i="1"/>
  <c r="Q119" i="1" s="1"/>
  <c r="E144" i="1"/>
  <c r="Q144" i="1" s="1"/>
  <c r="E141" i="1"/>
  <c r="Q141" i="1" s="1"/>
  <c r="E73" i="1"/>
  <c r="Q73" i="1" s="1"/>
  <c r="E6" i="1"/>
  <c r="Q6" i="1" s="1"/>
  <c r="E150" i="1"/>
  <c r="Q150" i="1" s="1"/>
  <c r="E50" i="1"/>
  <c r="Q50" i="1" s="1"/>
  <c r="E70" i="1"/>
  <c r="Q70" i="1" s="1"/>
  <c r="E193" i="1"/>
  <c r="Q193" i="1" s="1"/>
  <c r="E59" i="1"/>
  <c r="Q59" i="1" s="1"/>
  <c r="E12" i="1"/>
  <c r="Q12" i="1" s="1"/>
  <c r="E156" i="1"/>
  <c r="Q156" i="1" s="1"/>
  <c r="E136" i="1"/>
  <c r="Q136" i="1" s="1"/>
  <c r="E157" i="1"/>
  <c r="Q157" i="1" s="1"/>
  <c r="E29" i="1"/>
  <c r="Q29" i="1" s="1"/>
  <c r="E173" i="1"/>
  <c r="Q173" i="1" s="1"/>
  <c r="E163" i="1"/>
  <c r="Q163" i="1" s="1"/>
  <c r="E140" i="1"/>
  <c r="Q140" i="1" s="1"/>
  <c r="E165" i="1"/>
  <c r="Q165" i="1" s="1"/>
  <c r="E97" i="1"/>
  <c r="Q97" i="1" s="1"/>
  <c r="E18" i="1"/>
  <c r="Q18" i="1" s="1"/>
  <c r="E162" i="1"/>
  <c r="Q162" i="1" s="1"/>
  <c r="E98" i="1"/>
  <c r="Q98" i="1" s="1"/>
  <c r="E94" i="1"/>
  <c r="Q94" i="1" s="1"/>
  <c r="E26" i="1"/>
  <c r="Q26" i="1" s="1"/>
  <c r="E71" i="1"/>
  <c r="Q71" i="1" s="1"/>
  <c r="E24" i="1"/>
  <c r="Q24" i="1" s="1"/>
  <c r="E168" i="1"/>
  <c r="Q168" i="1" s="1"/>
  <c r="E4" i="1"/>
  <c r="Q4" i="1" s="1"/>
  <c r="E148" i="1"/>
  <c r="Q148" i="1" s="1"/>
  <c r="E38" i="1"/>
  <c r="Q38" i="1" s="1"/>
  <c r="E41" i="1"/>
  <c r="Q41" i="1" s="1"/>
  <c r="E185" i="1"/>
  <c r="Q185" i="1" s="1"/>
  <c r="E175" i="1"/>
  <c r="Q175" i="1" s="1"/>
  <c r="E176" i="1"/>
  <c r="Q176" i="1" s="1"/>
  <c r="E177" i="1"/>
  <c r="Q177" i="1" s="1"/>
  <c r="E121" i="1"/>
  <c r="Q121" i="1" s="1"/>
  <c r="E30" i="1"/>
  <c r="Q30" i="1" s="1"/>
  <c r="E174" i="1"/>
  <c r="Q174" i="1" s="1"/>
  <c r="E146" i="1"/>
  <c r="Q146" i="1" s="1"/>
  <c r="E118" i="1"/>
  <c r="Q118" i="1" s="1"/>
  <c r="E74" i="1"/>
  <c r="Q74" i="1" s="1"/>
  <c r="E83" i="1"/>
  <c r="Q83" i="1" s="1"/>
  <c r="E36" i="1"/>
  <c r="Q36" i="1" s="1"/>
  <c r="E180" i="1"/>
  <c r="Q180" i="1" s="1"/>
  <c r="E16" i="1"/>
  <c r="Q16" i="1" s="1"/>
  <c r="E160" i="1"/>
  <c r="Q160" i="1" s="1"/>
  <c r="E110" i="1"/>
  <c r="Q110" i="1" s="1"/>
  <c r="E53" i="1"/>
  <c r="Q53" i="1" s="1"/>
  <c r="E197" i="1"/>
  <c r="Q197" i="1" s="1"/>
  <c r="E187" i="1"/>
  <c r="Q187" i="1" s="1"/>
  <c r="E188" i="1"/>
  <c r="Q188" i="1" s="1"/>
  <c r="E10" i="1"/>
  <c r="Q10" i="1" s="1"/>
  <c r="E133" i="1"/>
  <c r="Q133" i="1" s="1"/>
  <c r="E42" i="1"/>
  <c r="Q42" i="1" s="1"/>
  <c r="E186" i="1"/>
  <c r="Q186" i="1" s="1"/>
  <c r="E194" i="1"/>
  <c r="Q194" i="1" s="1"/>
  <c r="E142" i="1"/>
  <c r="Q142" i="1" s="1"/>
  <c r="E134" i="1"/>
  <c r="Q134" i="1" s="1"/>
  <c r="E95" i="1"/>
  <c r="Q95" i="1" s="1"/>
  <c r="E48" i="1"/>
  <c r="Q48" i="1" s="1"/>
  <c r="E192" i="1"/>
  <c r="Q192" i="1" s="1"/>
  <c r="E52" i="1"/>
  <c r="Q52" i="1" s="1"/>
  <c r="E196" i="1"/>
  <c r="Q196" i="1" s="1"/>
  <c r="E63" i="1"/>
  <c r="Q63" i="1" s="1"/>
  <c r="E89" i="1"/>
  <c r="Q89" i="1" s="1"/>
  <c r="E55" i="1"/>
  <c r="Q55" i="1" s="1"/>
  <c r="E56" i="1"/>
  <c r="Q56" i="1" s="1"/>
  <c r="E69" i="1"/>
  <c r="Q69" i="1" s="1"/>
  <c r="E106" i="1"/>
  <c r="Q106" i="1" s="1"/>
  <c r="E62" i="1"/>
  <c r="Q62" i="1" s="1"/>
  <c r="E78" i="1"/>
  <c r="Q78" i="1" s="1"/>
  <c r="E20" i="1"/>
  <c r="Q20" i="1" s="1"/>
  <c r="E123" i="1"/>
  <c r="Q123" i="1" s="1"/>
  <c r="E13" i="1"/>
  <c r="Q13" i="1" s="1"/>
  <c r="E87" i="1"/>
  <c r="Q87" i="1" s="1"/>
  <c r="E131" i="1"/>
  <c r="Q131" i="1" s="1"/>
  <c r="E84" i="1"/>
  <c r="Q84" i="1" s="1"/>
  <c r="Y154" i="1"/>
  <c r="X74" i="1" l="1"/>
  <c r="Y74" i="1" s="1"/>
  <c r="X150" i="1"/>
  <c r="Y150" i="1" s="1"/>
  <c r="X181" i="1"/>
  <c r="Y181" i="1" s="1"/>
  <c r="X158" i="1"/>
  <c r="Y158" i="1" s="1"/>
  <c r="X152" i="1"/>
  <c r="Y152" i="1" s="1"/>
  <c r="X10" i="1"/>
  <c r="Y10" i="1" s="1"/>
  <c r="X163" i="1"/>
  <c r="Y163" i="1" s="1"/>
  <c r="X184" i="1"/>
  <c r="Y184" i="1" s="1"/>
  <c r="X127" i="1"/>
  <c r="Y127" i="1" s="1"/>
  <c r="X101" i="1"/>
  <c r="Y101" i="1" s="1"/>
  <c r="X5" i="1"/>
  <c r="Y5" i="1" s="1"/>
  <c r="X188" i="1"/>
  <c r="Y188" i="1" s="1"/>
  <c r="X173" i="1"/>
  <c r="Y173" i="1" s="1"/>
  <c r="X190" i="1"/>
  <c r="Y190" i="1" s="1"/>
  <c r="X33" i="1"/>
  <c r="Y33" i="1" s="1"/>
  <c r="X60" i="1"/>
  <c r="Y60" i="1" s="1"/>
  <c r="X77" i="1"/>
  <c r="Y77" i="1" s="1"/>
  <c r="X13" i="1"/>
  <c r="Y13" i="1" s="1"/>
  <c r="X174" i="1"/>
  <c r="Y174" i="1" s="1"/>
  <c r="X141" i="1"/>
  <c r="Y141" i="1" s="1"/>
  <c r="X129" i="1"/>
  <c r="Y129" i="1" s="1"/>
  <c r="X86" i="1"/>
  <c r="Y86" i="1" s="1"/>
  <c r="X65" i="1"/>
  <c r="Y65" i="1" s="1"/>
  <c r="X197" i="1"/>
  <c r="Y197" i="1" s="1"/>
  <c r="X71" i="1"/>
  <c r="Y71" i="1" s="1"/>
  <c r="X37" i="1"/>
  <c r="Y37" i="1" s="1"/>
  <c r="X147" i="1"/>
  <c r="Y147" i="1" s="1"/>
  <c r="X21" i="1"/>
  <c r="Y21" i="1" s="1"/>
  <c r="X25" i="1"/>
  <c r="Y25" i="1" s="1"/>
  <c r="X53" i="1"/>
  <c r="Y53" i="1" s="1"/>
  <c r="X136" i="1"/>
  <c r="Y136" i="1" s="1"/>
  <c r="X58" i="1"/>
  <c r="Y58" i="1" s="1"/>
  <c r="X49" i="1"/>
  <c r="Y49" i="1" s="1"/>
  <c r="X138" i="1"/>
  <c r="Y138" i="1" s="1"/>
  <c r="X75" i="1"/>
  <c r="Y75" i="1" s="1"/>
  <c r="X95" i="1"/>
  <c r="Y95" i="1" s="1"/>
  <c r="X94" i="1"/>
  <c r="Y94" i="1" s="1"/>
  <c r="X171" i="1"/>
  <c r="Y171" i="1" s="1"/>
  <c r="X99" i="1"/>
  <c r="Y99" i="1" s="1"/>
  <c r="X14" i="1"/>
  <c r="Y14" i="1" s="1"/>
  <c r="X91" i="1"/>
  <c r="Y91" i="1" s="1"/>
  <c r="X134" i="1"/>
  <c r="Y134" i="1" s="1"/>
  <c r="X98" i="1"/>
  <c r="Y98" i="1" s="1"/>
  <c r="X82" i="1"/>
  <c r="Y82" i="1" s="1"/>
  <c r="X23" i="1"/>
  <c r="Y23" i="1" s="1"/>
  <c r="X151" i="1"/>
  <c r="Y151" i="1" s="1"/>
  <c r="X66" i="1"/>
  <c r="Y66" i="1" s="1"/>
  <c r="X142" i="1"/>
  <c r="Y142" i="1" s="1"/>
  <c r="X162" i="1"/>
  <c r="Y162" i="1" s="1"/>
  <c r="X54" i="1"/>
  <c r="Y54" i="1" s="1"/>
  <c r="X135" i="1"/>
  <c r="Y135" i="1" s="1"/>
  <c r="X122" i="1"/>
  <c r="Y122" i="1" s="1"/>
  <c r="X17" i="1"/>
  <c r="Y17" i="1" s="1"/>
  <c r="X180" i="1"/>
  <c r="Y180" i="1" s="1"/>
  <c r="X18" i="1"/>
  <c r="Y18" i="1" s="1"/>
  <c r="X7" i="1"/>
  <c r="Y7" i="1" s="1"/>
  <c r="X124" i="1"/>
  <c r="Y124" i="1" s="1"/>
  <c r="X139" i="1"/>
  <c r="Y139" i="1" s="1"/>
  <c r="X105" i="1"/>
  <c r="Y105" i="1" s="1"/>
  <c r="X27" i="1"/>
  <c r="Y27" i="1" s="1"/>
  <c r="X67" i="1"/>
  <c r="Y67" i="1" s="1"/>
  <c r="X85" i="1"/>
  <c r="Y85" i="1" s="1"/>
  <c r="X143" i="1"/>
  <c r="Y143" i="1" s="1"/>
  <c r="X84" i="1"/>
  <c r="Y84" i="1" s="1"/>
  <c r="X148" i="1"/>
  <c r="Y148" i="1" s="1"/>
  <c r="X195" i="1"/>
  <c r="Y195" i="1" s="1"/>
  <c r="X166" i="1"/>
  <c r="Y166" i="1" s="1"/>
  <c r="X81" i="1"/>
  <c r="Y81" i="1" s="1"/>
  <c r="X40" i="1"/>
  <c r="Y40" i="1" s="1"/>
  <c r="X63" i="1"/>
  <c r="Y63" i="1" s="1"/>
  <c r="X4" i="1"/>
  <c r="Y4" i="1" s="1"/>
  <c r="X47" i="1"/>
  <c r="Y47" i="1" s="1"/>
  <c r="X137" i="1"/>
  <c r="Y137" i="1" s="1"/>
  <c r="X115" i="1"/>
  <c r="Y115" i="1" s="1"/>
  <c r="X196" i="1"/>
  <c r="Y196" i="1" s="1"/>
  <c r="X168" i="1"/>
  <c r="Y168" i="1" s="1"/>
  <c r="X132" i="1"/>
  <c r="Y132" i="1" s="1"/>
  <c r="X15" i="1"/>
  <c r="Y15" i="1" s="1"/>
  <c r="X64" i="1"/>
  <c r="Y64" i="1" s="1"/>
  <c r="X187" i="1"/>
  <c r="Y187" i="1" s="1"/>
  <c r="X29" i="1"/>
  <c r="Y29" i="1" s="1"/>
  <c r="X45" i="1"/>
  <c r="Y45" i="1" s="1"/>
  <c r="X100" i="1"/>
  <c r="Y100" i="1" s="1"/>
  <c r="X182" i="1"/>
  <c r="Y182" i="1" s="1"/>
  <c r="X123" i="1"/>
  <c r="Y123" i="1" s="1"/>
  <c r="X30" i="1"/>
  <c r="Y30" i="1" s="1"/>
  <c r="X144" i="1"/>
  <c r="Y144" i="1" s="1"/>
  <c r="X111" i="1"/>
  <c r="Y111" i="1" s="1"/>
  <c r="X72" i="1"/>
  <c r="Y72" i="1" s="1"/>
  <c r="X28" i="1"/>
  <c r="Y28" i="1" s="1"/>
  <c r="X20" i="1"/>
  <c r="Y20" i="1" s="1"/>
  <c r="X121" i="1"/>
  <c r="Y121" i="1" s="1"/>
  <c r="X119" i="1"/>
  <c r="Y119" i="1" s="1"/>
  <c r="X149" i="1"/>
  <c r="Y149" i="1" s="1"/>
  <c r="X11" i="1"/>
  <c r="Y11" i="1" s="1"/>
  <c r="X169" i="1"/>
  <c r="Y169" i="1" s="1"/>
  <c r="X78" i="1"/>
  <c r="Y78" i="1" s="1"/>
  <c r="X177" i="1"/>
  <c r="Y177" i="1" s="1"/>
  <c r="X156" i="1"/>
  <c r="Y156" i="1" s="1"/>
  <c r="X80" i="1"/>
  <c r="Y80" i="1" s="1"/>
  <c r="X153" i="1"/>
  <c r="Y153" i="1" s="1"/>
  <c r="X90" i="1"/>
  <c r="Y90" i="1" s="1"/>
  <c r="X62" i="1"/>
  <c r="Y62" i="1" s="1"/>
  <c r="X176" i="1"/>
  <c r="Y176" i="1" s="1"/>
  <c r="X34" i="1"/>
  <c r="Y34" i="1" s="1"/>
  <c r="X112" i="1"/>
  <c r="Y112" i="1" s="1"/>
  <c r="X31" i="1"/>
  <c r="Y31" i="1" s="1"/>
  <c r="X9" i="1"/>
  <c r="Y9" i="1" s="1"/>
  <c r="X106" i="1"/>
  <c r="Y106" i="1" s="1"/>
  <c r="X175" i="1"/>
  <c r="Y175" i="1" s="1"/>
  <c r="X59" i="1"/>
  <c r="Y59" i="1" s="1"/>
  <c r="X93" i="1"/>
  <c r="Y93" i="1" s="1"/>
  <c r="X76" i="1"/>
  <c r="Y76" i="1" s="1"/>
  <c r="X155" i="1"/>
  <c r="Y155" i="1" s="1"/>
  <c r="X69" i="1"/>
  <c r="Y69" i="1" s="1"/>
  <c r="X185" i="1"/>
  <c r="Y185" i="1" s="1"/>
  <c r="X130" i="1"/>
  <c r="Y130" i="1" s="1"/>
  <c r="X113" i="1"/>
  <c r="Y113" i="1" s="1"/>
  <c r="X56" i="1"/>
  <c r="Y56" i="1" s="1"/>
  <c r="X186" i="1"/>
  <c r="Y186" i="1" s="1"/>
  <c r="X36" i="1"/>
  <c r="Y36" i="1" s="1"/>
  <c r="X41" i="1"/>
  <c r="Y41" i="1" s="1"/>
  <c r="X97" i="1"/>
  <c r="Y97" i="1" s="1"/>
  <c r="X70" i="1"/>
  <c r="Y70" i="1" s="1"/>
  <c r="X104" i="1"/>
  <c r="Y104" i="1" s="1"/>
  <c r="X159" i="1"/>
  <c r="Y159" i="1" s="1"/>
  <c r="X108" i="1"/>
  <c r="Y108" i="1" s="1"/>
  <c r="X46" i="1"/>
  <c r="Y46" i="1" s="1"/>
  <c r="X170" i="1"/>
  <c r="Y170" i="1" s="1"/>
  <c r="X8" i="1"/>
  <c r="Y8" i="1" s="1"/>
  <c r="X183" i="1"/>
  <c r="Y183" i="1" s="1"/>
  <c r="X167" i="1"/>
  <c r="Y167" i="1" s="1"/>
  <c r="X116" i="1"/>
  <c r="Y116" i="1" s="1"/>
  <c r="X178" i="1"/>
  <c r="Y178" i="1" s="1"/>
  <c r="X89" i="1"/>
  <c r="Y89" i="1" s="1"/>
  <c r="X133" i="1"/>
  <c r="Y133" i="1" s="1"/>
  <c r="X140" i="1"/>
  <c r="Y140" i="1" s="1"/>
  <c r="X120" i="1"/>
  <c r="Y120" i="1" s="1"/>
  <c r="X44" i="1"/>
  <c r="Y44" i="1" s="1"/>
  <c r="X128" i="1"/>
  <c r="Y128" i="1" s="1"/>
  <c r="X131" i="1"/>
  <c r="Y131" i="1" s="1"/>
  <c r="X118" i="1"/>
  <c r="Y118" i="1" s="1"/>
  <c r="X6" i="1"/>
  <c r="Y6" i="1" s="1"/>
  <c r="X164" i="1"/>
  <c r="Y164" i="1" s="1"/>
  <c r="X88" i="1"/>
  <c r="Y88" i="1" s="1"/>
  <c r="X79" i="1"/>
  <c r="Y79" i="1" s="1"/>
  <c r="X87" i="1"/>
  <c r="Y87" i="1" s="1"/>
  <c r="X146" i="1"/>
  <c r="Y146" i="1" s="1"/>
  <c r="X73" i="1"/>
  <c r="Y73" i="1" s="1"/>
  <c r="X51" i="1"/>
  <c r="Y51" i="1" s="1"/>
  <c r="X103" i="1"/>
  <c r="Y103" i="1" s="1"/>
  <c r="X52" i="1"/>
  <c r="Y52" i="1" s="1"/>
  <c r="X24" i="1"/>
  <c r="Y24" i="1" s="1"/>
  <c r="X107" i="1"/>
  <c r="Y107" i="1" s="1"/>
  <c r="X179" i="1"/>
  <c r="Y179" i="1" s="1"/>
  <c r="X39" i="1"/>
  <c r="Y39" i="1" s="1"/>
  <c r="X192" i="1"/>
  <c r="Y192" i="1" s="1"/>
  <c r="X157" i="1"/>
  <c r="Y157" i="1" s="1"/>
  <c r="X68" i="1"/>
  <c r="Y68" i="1" s="1"/>
  <c r="X114" i="1"/>
  <c r="Y114" i="1" s="1"/>
  <c r="X48" i="1"/>
  <c r="Y48" i="1" s="1"/>
  <c r="X26" i="1"/>
  <c r="Y26" i="1" s="1"/>
  <c r="X189" i="1"/>
  <c r="Y189" i="1" s="1"/>
  <c r="X57" i="1"/>
  <c r="Y57" i="1" s="1"/>
  <c r="X110" i="1"/>
  <c r="Y110" i="1" s="1"/>
  <c r="X61" i="1"/>
  <c r="Y61" i="1" s="1"/>
  <c r="X96" i="1"/>
  <c r="Y96" i="1" s="1"/>
  <c r="X145" i="1"/>
  <c r="Y145" i="1" s="1"/>
  <c r="X160" i="1"/>
  <c r="Y160" i="1" s="1"/>
  <c r="X12" i="1"/>
  <c r="Y12" i="1" s="1"/>
  <c r="X161" i="1"/>
  <c r="Y161" i="1" s="1"/>
  <c r="X102" i="1"/>
  <c r="Y102" i="1" s="1"/>
  <c r="X16" i="1"/>
  <c r="Y16" i="1" s="1"/>
  <c r="X92" i="1"/>
  <c r="Y92" i="1" s="1"/>
  <c r="X22" i="1"/>
  <c r="Y22" i="1" s="1"/>
  <c r="X32" i="1"/>
  <c r="Y32" i="1" s="1"/>
  <c r="X194" i="1"/>
  <c r="Y194" i="1" s="1"/>
  <c r="X193" i="1"/>
  <c r="Y193" i="1" s="1"/>
  <c r="X55" i="1"/>
  <c r="Y55" i="1" s="1"/>
  <c r="X42" i="1"/>
  <c r="Y42" i="1" s="1"/>
  <c r="X83" i="1"/>
  <c r="Y83" i="1" s="1"/>
  <c r="X38" i="1"/>
  <c r="Y38" i="1" s="1"/>
  <c r="X165" i="1"/>
  <c r="Y165" i="1" s="1"/>
  <c r="X50" i="1"/>
  <c r="Y50" i="1" s="1"/>
  <c r="X43" i="1"/>
  <c r="Y43" i="1" s="1"/>
  <c r="X172" i="1"/>
  <c r="Y172" i="1" s="1"/>
  <c r="X35" i="1"/>
  <c r="Y35" i="1" s="1"/>
  <c r="X191" i="1"/>
  <c r="Y191" i="1" s="1"/>
  <c r="X117" i="1"/>
  <c r="Y117" i="1" s="1"/>
  <c r="X125" i="1"/>
  <c r="Y125" i="1" s="1"/>
  <c r="X126" i="1"/>
  <c r="Y126" i="1" s="1"/>
  <c r="X109" i="1"/>
  <c r="Y109" i="1" s="1"/>
  <c r="X19" i="1"/>
  <c r="Y19" i="1" s="1"/>
  <c r="X58" i="2"/>
  <c r="Y58" i="2" s="1"/>
  <c r="X52" i="2"/>
  <c r="Y52" i="2" s="1"/>
  <c r="X83" i="2"/>
  <c r="Y83" i="2" s="1"/>
  <c r="X63" i="2"/>
  <c r="Y63" i="2" s="1"/>
  <c r="X74" i="2"/>
  <c r="Y74" i="2" s="1"/>
  <c r="X75" i="2"/>
  <c r="Y75" i="2" s="1"/>
  <c r="X22" i="2"/>
  <c r="Y22" i="2" s="1"/>
  <c r="X28" i="2"/>
  <c r="Y28" i="2" s="1"/>
  <c r="X27" i="2"/>
  <c r="Y27" i="2" s="1"/>
  <c r="X50" i="2"/>
  <c r="Y50" i="2" s="1"/>
  <c r="X24" i="2"/>
  <c r="Y24" i="2" s="1"/>
  <c r="X48" i="2"/>
  <c r="Y48" i="2" s="1"/>
  <c r="X67" i="2"/>
  <c r="Y67" i="2" s="1"/>
  <c r="X35" i="2"/>
  <c r="Y35" i="2" s="1"/>
  <c r="X13" i="2"/>
  <c r="Y13" i="2" s="1"/>
  <c r="X19" i="2"/>
  <c r="Y19" i="2" s="1"/>
  <c r="X65" i="2"/>
  <c r="Y65" i="2" s="1"/>
  <c r="X36" i="2"/>
  <c r="Y36" i="2" s="1"/>
  <c r="X5" i="2"/>
  <c r="Y5" i="2" s="1"/>
  <c r="X69" i="2"/>
  <c r="Y69" i="2" s="1"/>
  <c r="X14" i="2"/>
  <c r="Y14" i="2" s="1"/>
  <c r="X25" i="2"/>
  <c r="Y25" i="2" s="1"/>
  <c r="X30" i="2"/>
  <c r="Y30" i="2" s="1"/>
  <c r="X21" i="2"/>
  <c r="Y21" i="2" s="1"/>
  <c r="X4" i="2"/>
  <c r="Y4" i="2" s="1"/>
  <c r="X62" i="2"/>
  <c r="Y62" i="2" s="1"/>
  <c r="X9" i="2"/>
  <c r="Y9" i="2" s="1"/>
  <c r="X77" i="2"/>
  <c r="Y77" i="2" s="1"/>
  <c r="X79" i="2"/>
  <c r="Y79" i="2" s="1"/>
  <c r="X10" i="2"/>
  <c r="Y10" i="2" s="1"/>
  <c r="X31" i="2"/>
  <c r="Y31" i="2" s="1"/>
  <c r="X66" i="2"/>
  <c r="Y66" i="2" s="1"/>
  <c r="X46" i="2"/>
  <c r="Y46" i="2" s="1"/>
  <c r="X38" i="2"/>
  <c r="Y38" i="2" s="1"/>
  <c r="X45" i="2"/>
  <c r="Y45" i="2" s="1"/>
  <c r="X82" i="2"/>
  <c r="Y82" i="2" s="1"/>
  <c r="X76" i="2"/>
  <c r="Y76" i="2" s="1"/>
  <c r="X72" i="2"/>
  <c r="Y72" i="2" s="1"/>
  <c r="X64" i="2"/>
  <c r="Y64" i="2" s="1"/>
  <c r="X37" i="2"/>
  <c r="Y37" i="2" s="1"/>
</calcChain>
</file>

<file path=xl/sharedStrings.xml><?xml version="1.0" encoding="utf-8"?>
<sst xmlns="http://schemas.openxmlformats.org/spreadsheetml/2006/main" count="933" uniqueCount="490">
  <si>
    <t>Id</t>
  </si>
  <si>
    <t>Title</t>
  </si>
  <si>
    <t>ParentId</t>
  </si>
  <si>
    <t>Guid</t>
  </si>
  <si>
    <t>CreatedDate</t>
  </si>
  <si>
    <t>CreatedUserId</t>
  </si>
  <si>
    <t>Description</t>
  </si>
  <si>
    <t>IsActive</t>
  </si>
  <si>
    <t>IsDeleted</t>
  </si>
  <si>
    <t>LastModifiedDate</t>
  </si>
  <si>
    <t>LastModifiedUserId</t>
  </si>
  <si>
    <t>Create Date</t>
  </si>
  <si>
    <t>"ایران",</t>
  </si>
  <si>
    <t>"اتریش",</t>
  </si>
  <si>
    <t>"اتیوپی",</t>
  </si>
  <si>
    <t>"اردن",</t>
  </si>
  <si>
    <t>"ارمنستان",</t>
  </si>
  <si>
    <t>"اروگوئه",</t>
  </si>
  <si>
    <t>"اریتره",</t>
  </si>
  <si>
    <t>"ازبکستان",</t>
  </si>
  <si>
    <t>"اسپانیا",</t>
  </si>
  <si>
    <t>"استرالیا",</t>
  </si>
  <si>
    <t>"استونی",</t>
  </si>
  <si>
    <t>"اسرائیل",</t>
  </si>
  <si>
    <t>"اسلواکی",</t>
  </si>
  <si>
    <t>"اسلوونی",</t>
  </si>
  <si>
    <t>"اسواتینی",</t>
  </si>
  <si>
    <t>"افغانستان",</t>
  </si>
  <si>
    <t>"اکوادور",</t>
  </si>
  <si>
    <t>"الجزایر",</t>
  </si>
  <si>
    <t>"السالوادور",</t>
  </si>
  <si>
    <t>"امارات متحده عربی",</t>
  </si>
  <si>
    <t>"اندونزی",</t>
  </si>
  <si>
    <t>"اوکراین",</t>
  </si>
  <si>
    <t>"اوگاندا",</t>
  </si>
  <si>
    <t>"ایالات متحده آمریکا",</t>
  </si>
  <si>
    <t>"ایتالیا",</t>
  </si>
  <si>
    <t>"ایرلند",</t>
  </si>
  <si>
    <t>"ایسلند",</t>
  </si>
  <si>
    <t>"آذربایجان",</t>
  </si>
  <si>
    <t>"آرژانتین",</t>
  </si>
  <si>
    <t>"آفریقای جنوبی",</t>
  </si>
  <si>
    <t>"آلبانی",</t>
  </si>
  <si>
    <t>"آلمان",</t>
  </si>
  <si>
    <t>"آنتیگوا و باربودا",</t>
  </si>
  <si>
    <t>"آندورا",</t>
  </si>
  <si>
    <t>"آنگولا",</t>
  </si>
  <si>
    <t>"باربادوس",</t>
  </si>
  <si>
    <t>"باهاما",</t>
  </si>
  <si>
    <t>"بحرین",</t>
  </si>
  <si>
    <t>"برزیل",</t>
  </si>
  <si>
    <t>"برونئی",</t>
  </si>
  <si>
    <t>"بریتانیا",</t>
  </si>
  <si>
    <t>"بلاروس",</t>
  </si>
  <si>
    <t>"بلژیک",</t>
  </si>
  <si>
    <t>"بلغارستان",</t>
  </si>
  <si>
    <t>"بلیز",</t>
  </si>
  <si>
    <t>"بنگلادش",</t>
  </si>
  <si>
    <t>"بنین",</t>
  </si>
  <si>
    <t>"بوتان",</t>
  </si>
  <si>
    <t>"بوتسوانا",</t>
  </si>
  <si>
    <t>"بورکینافاسو",</t>
  </si>
  <si>
    <t>"بوروندی",</t>
  </si>
  <si>
    <t>"بوسنی و هرزگوین",</t>
  </si>
  <si>
    <t>"بولیوی",</t>
  </si>
  <si>
    <t>"پاپوآ گینه نو",</t>
  </si>
  <si>
    <t>"پاراگوئه",</t>
  </si>
  <si>
    <t>"پاکستان",</t>
  </si>
  <si>
    <t>"پالائو",</t>
  </si>
  <si>
    <t>"پاناما",</t>
  </si>
  <si>
    <t>"پرتغال",</t>
  </si>
  <si>
    <t>"پرو",</t>
  </si>
  <si>
    <t>"تاجیکستان",</t>
  </si>
  <si>
    <t>"تانزانیا",</t>
  </si>
  <si>
    <t>"تایلند",</t>
  </si>
  <si>
    <t>"تایوان",</t>
  </si>
  <si>
    <t>"ترکمنستان",</t>
  </si>
  <si>
    <t>"ترکیه",</t>
  </si>
  <si>
    <t>"ترینیداد و توباگو",</t>
  </si>
  <si>
    <t>"توگو",</t>
  </si>
  <si>
    <t>"تونس",</t>
  </si>
  <si>
    <t>"تونگا",</t>
  </si>
  <si>
    <t>"تووالو",</t>
  </si>
  <si>
    <t>"تیمور شرقی",</t>
  </si>
  <si>
    <t>"جامائیکا",</t>
  </si>
  <si>
    <t>"جزایر سلیمان",</t>
  </si>
  <si>
    <t>"جزایر مارشال",</t>
  </si>
  <si>
    <t>"جمهوری آفریقای مرکزی",</t>
  </si>
  <si>
    <t>"جمهوری چک",</t>
  </si>
  <si>
    <t>"جمهوری دموکراتیک کنگو",</t>
  </si>
  <si>
    <t>"جمهوری دومینیکن",</t>
  </si>
  <si>
    <t>"جیبوتی",</t>
  </si>
  <si>
    <t>"چاد",</t>
  </si>
  <si>
    <t>"چین",</t>
  </si>
  <si>
    <t>"دانمارک",</t>
  </si>
  <si>
    <t>"دومینیکا",</t>
  </si>
  <si>
    <t>"رواندا",</t>
  </si>
  <si>
    <t>"روسیه",</t>
  </si>
  <si>
    <t>"رومانی",</t>
  </si>
  <si>
    <t>"زامبیا",</t>
  </si>
  <si>
    <t>"زیمبابوه",</t>
  </si>
  <si>
    <t>"ژاپن",</t>
  </si>
  <si>
    <t>"ساحل عاج",</t>
  </si>
  <si>
    <t>"ساموآ",</t>
  </si>
  <si>
    <t>"سان مارینو",</t>
  </si>
  <si>
    <t>"سائوتومه و پرنسیپ",</t>
  </si>
  <si>
    <t>"سریلانکا",</t>
  </si>
  <si>
    <t>"سنت کیتس و نویس",</t>
  </si>
  <si>
    <t>"سنت لوسیا",</t>
  </si>
  <si>
    <t>"سنت وینسنت و گرنادین‌ها",</t>
  </si>
  <si>
    <t>"سنگاپور",</t>
  </si>
  <si>
    <t>"سنگال",</t>
  </si>
  <si>
    <t>"سودان",</t>
  </si>
  <si>
    <t>"سودان جنوبی",</t>
  </si>
  <si>
    <t>"سورینام",</t>
  </si>
  <si>
    <t>"سوریه",</t>
  </si>
  <si>
    <t>"سومالی",</t>
  </si>
  <si>
    <t>"سوئد",</t>
  </si>
  <si>
    <t>"سوئیس",</t>
  </si>
  <si>
    <t>"سیرالئون",</t>
  </si>
  <si>
    <t>"سیشل",</t>
  </si>
  <si>
    <t>"شیلی",</t>
  </si>
  <si>
    <t>"صربستان",</t>
  </si>
  <si>
    <t>"عراق",</t>
  </si>
  <si>
    <t>"عربستان سعودی",</t>
  </si>
  <si>
    <t>"عمان",</t>
  </si>
  <si>
    <t>"غنا",</t>
  </si>
  <si>
    <t>"فرانسه",</t>
  </si>
  <si>
    <t>"فنلاند",</t>
  </si>
  <si>
    <t>"فیجی",</t>
  </si>
  <si>
    <t>"فیلیپین",</t>
  </si>
  <si>
    <t>"قبرس",</t>
  </si>
  <si>
    <t>"قرقیزستان",</t>
  </si>
  <si>
    <t>"قزاقستان",</t>
  </si>
  <si>
    <t>"قطر",</t>
  </si>
  <si>
    <t>"کاستاریکا",</t>
  </si>
  <si>
    <t>"کامبوج",</t>
  </si>
  <si>
    <t>"کامرون",</t>
  </si>
  <si>
    <t>"کانادا",</t>
  </si>
  <si>
    <t>"کره جنوبی",</t>
  </si>
  <si>
    <t>"کره شمالی",</t>
  </si>
  <si>
    <t>"کرواسی",</t>
  </si>
  <si>
    <t>"کلمبیا",</t>
  </si>
  <si>
    <t>"کنگو",</t>
  </si>
  <si>
    <t>"کنیا",</t>
  </si>
  <si>
    <t>"کوبا",</t>
  </si>
  <si>
    <t>"کومور",</t>
  </si>
  <si>
    <t>"کویت",</t>
  </si>
  <si>
    <t>"کیپ ورد",</t>
  </si>
  <si>
    <t>"کیریباتی",</t>
  </si>
  <si>
    <t>"گابن",</t>
  </si>
  <si>
    <t>"گامبیا",</t>
  </si>
  <si>
    <t>"گرجستان",</t>
  </si>
  <si>
    <t>"گرنادا",</t>
  </si>
  <si>
    <t>"گواتمالا",</t>
  </si>
  <si>
    <t>"گویان",</t>
  </si>
  <si>
    <t>"گینه",</t>
  </si>
  <si>
    <t>"گینه استوایی",</t>
  </si>
  <si>
    <t>"گینه بیسائو",</t>
  </si>
  <si>
    <t>"لائوس",</t>
  </si>
  <si>
    <t>"لبنان",</t>
  </si>
  <si>
    <t>"لتونی",</t>
  </si>
  <si>
    <t>"لسوتو",</t>
  </si>
  <si>
    <t>"لهستان",</t>
  </si>
  <si>
    <t>"لوکزامبورگ",</t>
  </si>
  <si>
    <t>"لیبریا",</t>
  </si>
  <si>
    <t>"لیبی",</t>
  </si>
  <si>
    <t>"لیتوانی",</t>
  </si>
  <si>
    <t>"لیختن‌اشتاین",</t>
  </si>
  <si>
    <t>"ماداگاسکار",</t>
  </si>
  <si>
    <t>"مالاوی",</t>
  </si>
  <si>
    <t>"مالت",</t>
  </si>
  <si>
    <t>"مالدیو",</t>
  </si>
  <si>
    <t>"مالزی",</t>
  </si>
  <si>
    <t>"مالی",</t>
  </si>
  <si>
    <t>"مجارستان",</t>
  </si>
  <si>
    <t>"مراکش",</t>
  </si>
  <si>
    <t>"مصر",</t>
  </si>
  <si>
    <t>"مغولستان",</t>
  </si>
  <si>
    <t>"مقدونیه شمالی",</t>
  </si>
  <si>
    <t>"مکزیک",</t>
  </si>
  <si>
    <t>"موریتانی",</t>
  </si>
  <si>
    <t>"موریس",</t>
  </si>
  <si>
    <t>"موزامبیک",</t>
  </si>
  <si>
    <t>"مولداوی",</t>
  </si>
  <si>
    <t>"موناکو",</t>
  </si>
  <si>
    <t>"مونته‌نگرو",</t>
  </si>
  <si>
    <t>"میانمار",</t>
  </si>
  <si>
    <t>"میکرونزی",</t>
  </si>
  <si>
    <t>"نامیبیا",</t>
  </si>
  <si>
    <t>"نائورو",</t>
  </si>
  <si>
    <t>"نپال",</t>
  </si>
  <si>
    <t>"نروژ",</t>
  </si>
  <si>
    <t>"نیجر",</t>
  </si>
  <si>
    <t>"نیجریه",</t>
  </si>
  <si>
    <t>"نیکاراگوئه",</t>
  </si>
  <si>
    <t>"نیوزیلند",</t>
  </si>
  <si>
    <t>"هائیتی",</t>
  </si>
  <si>
    <t>"هلند",</t>
  </si>
  <si>
    <t>"هند",</t>
  </si>
  <si>
    <t>"هندوراس",</t>
  </si>
  <si>
    <t>"واتیکان",</t>
  </si>
  <si>
    <t>"وانواتو",</t>
  </si>
  <si>
    <t>"ونزوئلا",</t>
  </si>
  <si>
    <t>"ویتنام",</t>
  </si>
  <si>
    <t>"یمن",</t>
  </si>
  <si>
    <t>"یونان",</t>
  </si>
  <si>
    <t xml:space="preserve"> "Created by seeding data",</t>
  </si>
  <si>
    <t>Guid.Parse("EA67D95C-AD10-429B-8728-FEDC442C987A"),</t>
  </si>
  <si>
    <t>Guid.Parse("DBA40481-3887-4D1B-84CB-DF0E9B68B7A6"),</t>
  </si>
  <si>
    <t>Guid.Parse("B12672CD-2F24-4C3F-B21E-26F1244B79CA"),</t>
  </si>
  <si>
    <t>Guid.Parse("02ACCC92-03A3-4A93-9688-DA2DEDDAF284"),</t>
  </si>
  <si>
    <t>Guid.Parse("6CECF227-0773-4918-8A4C-22A5D123A824"),</t>
  </si>
  <si>
    <t>Guid.Parse("FB6689E8-65BE-464F-B342-B44B9E7C2943"),</t>
  </si>
  <si>
    <t>Guid.Parse("F9B9F626-D16A-4D98-8B3B-8082CA392E17"),</t>
  </si>
  <si>
    <t>Guid.Parse("B0CAFF84-9017-4553-8F8D-B44750585FF7"),</t>
  </si>
  <si>
    <t>Guid.Parse("9941FFC5-135B-416D-80D2-533B99B60A1F"),</t>
  </si>
  <si>
    <t>Guid.Parse("0A151F0C-EE74-4E43-BE68-3CF59984F0DC"),</t>
  </si>
  <si>
    <t>Guid.Parse("4888D06E-5795-4858-BDD2-BE18B36CC60A"),</t>
  </si>
  <si>
    <t>Guid.Parse("7D9E9680-5CDE-421B-AB43-EC05A2EE0CFF"),</t>
  </si>
  <si>
    <t>Guid.Parse("23AFDA54-E86A-4D4A-9F59-5C572CF72245"),</t>
  </si>
  <si>
    <t>Guid.Parse("A4A77F00-05EE-47DD-AEF7-2D3497E973AE"),</t>
  </si>
  <si>
    <t>Guid.Parse("F8D3CF33-78CE-4900-B672-75320B4B5D9C"),</t>
  </si>
  <si>
    <t>Guid.Parse("EE5198A1-AD54-40E4-9680-30F25EF9ABB2"),</t>
  </si>
  <si>
    <t>Guid.Parse("C3E7C672-BCF4-48B3-9C1B-5BF5A598C929"),</t>
  </si>
  <si>
    <t>Guid.Parse("37C27644-5427-4AF7-B728-D860082A366F"),</t>
  </si>
  <si>
    <t>Guid.Parse("A26C68F8-A25B-46C5-9D3B-E9855DF2285A"),</t>
  </si>
  <si>
    <t>Guid.Parse("18A49860-1390-495C-A2C4-39CC53417F9D"),</t>
  </si>
  <si>
    <t>Guid.Parse("D31CF596-A955-403F-B7CA-0EC7DE30634E"),</t>
  </si>
  <si>
    <t>Guid.Parse("8A754871-A975-4A16-95E2-0CAECF02D0B8"),</t>
  </si>
  <si>
    <t>Guid.Parse("6AF49F3C-AA47-46F6-9627-2250516D5CA0"),</t>
  </si>
  <si>
    <t>Guid.Parse("7945BEFD-8230-4F05-ADED-FC21B0E63B75"),</t>
  </si>
  <si>
    <t>Guid.Parse("03CF2AA2-8AEB-4060-A727-9C9A6C5F57A8"),</t>
  </si>
  <si>
    <t>Guid.Parse("FF3E83D7-57A3-487C-99F0-0A7A6973314E"),</t>
  </si>
  <si>
    <t>Guid.Parse("AE2ADFAD-3769-48A4-A1DB-D5958D4E9F4F"),</t>
  </si>
  <si>
    <t>Guid.Parse("19098DDE-03CF-43D9-8E55-906850BA015E"),</t>
  </si>
  <si>
    <t>Guid.Parse("49B760D0-493A-4125-8465-7F40DFE21604"),</t>
  </si>
  <si>
    <t>Guid.Parse("C5B15FCA-A561-4CA9-B7B1-AC0CB0AA5660"),</t>
  </si>
  <si>
    <t>Guid.Parse("06193B94-C92E-4C2F-9DF1-4D1A0B48DE1B"),</t>
  </si>
  <si>
    <t>Guid.Parse("37DFD360-F35E-4627-9FDD-CF1612C09706"),</t>
  </si>
  <si>
    <t>Guid.Parse("D6C658A9-3618-4F63-B36F-B908176E3A3E"),</t>
  </si>
  <si>
    <t>Guid.Parse("0F04C3C7-F366-4202-9D16-4461D4744750"),</t>
  </si>
  <si>
    <t>Guid.Parse("1793565D-79BA-45E7-B329-BD3F210A03D5"),</t>
  </si>
  <si>
    <t>Guid.Parse("42D9A72F-D771-47F3-8016-21FCBA8FD5D4"),</t>
  </si>
  <si>
    <t>Guid.Parse("F01EA438-2B30-4193-B1BE-5F05E3564E7A"),</t>
  </si>
  <si>
    <t>Guid.Parse("82EFB60A-F6AC-4853-821F-DBA8D004D529"),</t>
  </si>
  <si>
    <t>Guid.Parse("974BE3E7-67D3-400B-8AEB-AE567300FB92"),</t>
  </si>
  <si>
    <t>Guid.Parse("D5154C2D-ADB1-49AE-A724-BE1B7A046D8F"),</t>
  </si>
  <si>
    <t>Guid.Parse("829BD688-6AB9-4F7A-9F55-F0E5BC075C48"),</t>
  </si>
  <si>
    <t>Guid.Parse("44628EF5-1D76-49A6-95D7-00CC99E88EB0"),</t>
  </si>
  <si>
    <t>Guid.Parse("08BCF714-3CB1-4803-9F05-E9726518D44E"),</t>
  </si>
  <si>
    <t>Guid.Parse("574A74A2-382B-4E9F-81FE-D7CFD1090CF5"),</t>
  </si>
  <si>
    <t>Guid.Parse("A94285BF-710A-4CEC-BB66-1B15A1B46C5F"),</t>
  </si>
  <si>
    <t>Guid.Parse("E6996240-D921-4818-B630-5678C06216BB"),</t>
  </si>
  <si>
    <t>Guid.Parse("7B1B225A-6BB6-4017-8804-98208B6DAB93"),</t>
  </si>
  <si>
    <t>Guid.Parse("9BCF9C3E-148D-4624-9D6F-4C75E8A80AE5"),</t>
  </si>
  <si>
    <t>Guid.Parse("C5983511-8F11-49E8-9178-3A20301FC3D9"),</t>
  </si>
  <si>
    <t>Guid.Parse("FD8F07C4-4E44-4D05-9BDE-261217EF4E5D"),</t>
  </si>
  <si>
    <t>Guid.Parse("CF0BCA8D-8E40-4DC2-A942-98E820630AFB"),</t>
  </si>
  <si>
    <t>Guid.Parse("F5396C20-3743-478D-B17C-D82F07FCA587"),</t>
  </si>
  <si>
    <t>Guid.Parse("69BA38F9-903A-49EC-B928-8B41DC10B474"),</t>
  </si>
  <si>
    <t>Guid.Parse("0EF730EC-93A9-46DC-8AC0-30E6033062DF"),</t>
  </si>
  <si>
    <t>Guid.Parse("B8AC1FF0-C692-4282-9F13-94629CAFDABF"),</t>
  </si>
  <si>
    <t>Guid.Parse("E172A0CC-CBE3-4720-9C00-4AE61BDC7824"),</t>
  </si>
  <si>
    <t>Guid.Parse("E4BDE8DD-6AC8-417C-809F-458DE1A157EF"),</t>
  </si>
  <si>
    <t>Guid.Parse("6583B2B9-B0DF-4B4F-8BA4-5307BACF9247"),</t>
  </si>
  <si>
    <t>Guid.Parse("16AB9E30-4B32-4F2E-9068-BF5487B498A1"),</t>
  </si>
  <si>
    <t>Guid.Parse("0B2E9589-D298-4F57-9EB5-5D530F3DDA6A"),</t>
  </si>
  <si>
    <t>Guid.Parse("4FE5800A-106A-4EDC-8C5F-40AC08706D9D"),</t>
  </si>
  <si>
    <t>Guid.Parse("9256776F-53DF-452B-A87C-4A3086A451CD"),</t>
  </si>
  <si>
    <t>Guid.Parse("8545D4A8-5939-49D6-9C73-12AF1DE0A7B7"),</t>
  </si>
  <si>
    <t>Guid.Parse("ECB47318-38BA-4672-A9BF-E2132F8207E8"),</t>
  </si>
  <si>
    <t>Guid.Parse("646EEFD1-6A3E-4127-88EB-D46CFE994076"),</t>
  </si>
  <si>
    <t>Guid.Parse("82AB027B-BDE3-4EE9-A217-4073BCEA57B0"),</t>
  </si>
  <si>
    <t>Guid.Parse("DBEECB7A-2D43-401F-B3A9-B46BDF87C29B"),</t>
  </si>
  <si>
    <t>Guid.Parse("7BBF3CE3-81DE-4423-A7C9-DC14068D03D2"),</t>
  </si>
  <si>
    <t>Guid.Parse("A16B2315-C803-4BED-AC69-214C6CDE3FF3"),</t>
  </si>
  <si>
    <t>Guid.Parse("A18DAFC6-11A4-4920-9E42-5983E6758D12"),</t>
  </si>
  <si>
    <t>Guid.Parse("2AE85D9E-33C7-4674-B1CA-E0581C48178A"),</t>
  </si>
  <si>
    <t>Guid.Parse("2941F4F3-249F-40BB-A1E6-6A830F4B7F1D"),</t>
  </si>
  <si>
    <t>Guid.Parse("64B19CD3-2416-494A-BF23-D368A5EA607C"),</t>
  </si>
  <si>
    <t>Guid.Parse("71670711-68E9-4123-B7CE-C063B3FD910C"),</t>
  </si>
  <si>
    <t>Guid.Parse("51B29A7D-31DA-4985-913A-61938AD800FB"),</t>
  </si>
  <si>
    <t>Guid.Parse("8907D046-60FB-4029-83E1-76FDB247A47E"),</t>
  </si>
  <si>
    <t>Guid.Parse("8BBA3AB9-94B4-4D05-B1A3-C8FE0EC31FCA"),</t>
  </si>
  <si>
    <t>Guid.Parse("9454E54F-8B7F-4A85-9156-1ED7013D6554"),</t>
  </si>
  <si>
    <t>Guid.Parse("534A678B-4DE4-46F6-B2EA-E54D4C1C4D77"),</t>
  </si>
  <si>
    <t>Guid.Parse("E8926DA2-654D-4D6B-B0E2-9F680D3C12AE"),</t>
  </si>
  <si>
    <t>Guid.Parse("944C7C9F-8A26-444F-8A7E-FACF94051EAC"),</t>
  </si>
  <si>
    <t>Guid.Parse("596B2813-6A09-4929-818E-408B8435334B"),</t>
  </si>
  <si>
    <t>Guid.Parse("C9419815-19F5-40E6-A8B4-AA5ABCF168DB"),</t>
  </si>
  <si>
    <t>Guid.Parse("72943D44-301B-4A4D-A4A7-7553A476EE30"),</t>
  </si>
  <si>
    <t>Guid.Parse("63E77FD3-401F-4537-A08D-3F0C9BE56C57"),</t>
  </si>
  <si>
    <t>Guid.Parse("FEABDBD4-6E46-476E-862F-AE052D515509"),</t>
  </si>
  <si>
    <t>Guid.Parse("F9AA5D38-8868-4D30-8FFC-78B72CCAF66F"),</t>
  </si>
  <si>
    <t>Guid.Parse("BA0C8FF9-DF2A-4959-A859-B4F69C156C56"),</t>
  </si>
  <si>
    <t>Guid.Parse("6967F5C5-A163-484B-B531-67499ECE9684"),</t>
  </si>
  <si>
    <t>Guid.Parse("9ED263F4-BEC0-4355-81F2-F517C608E8E9"),</t>
  </si>
  <si>
    <t>Guid.Parse("52349AF2-40CE-4750-BEBC-5C651574BBF5"),</t>
  </si>
  <si>
    <t>Guid.Parse("3072DF6C-B487-4D5A-BA7E-15570326808A"),</t>
  </si>
  <si>
    <t>Guid.Parse("460655DB-DC6F-4D1E-9627-74C884064965"),</t>
  </si>
  <si>
    <t>Guid.Parse("241A6CE3-F197-4A57-9804-16B9EBD377E3"),</t>
  </si>
  <si>
    <t>Guid.Parse("82189184-2FEF-4CF3-844C-126BC4FB4930"),</t>
  </si>
  <si>
    <t>Guid.Parse("72BB39F1-ED98-4BFC-A6A4-50A01F29F866"),</t>
  </si>
  <si>
    <t>Guid.Parse("61174FC7-6892-428B-8EB9-5E3233611775"),</t>
  </si>
  <si>
    <t>Guid.Parse("C5ABF2D1-C46A-40FA-B0AC-E94E315C8E72"),</t>
  </si>
  <si>
    <t>Guid.Parse("5ED434C6-86AB-483E-8C5D-BFF02A5CACA9"),</t>
  </si>
  <si>
    <t>Guid.Parse("8C00F1F3-1B34-46A7-A339-144C3630CAC1"),</t>
  </si>
  <si>
    <t>Guid.Parse("6D2C2D2F-FA35-40FA-AE36-7074AA8A7A85"),</t>
  </si>
  <si>
    <t>Guid.Parse("7C4097B3-5A9E-4DB8-A2FC-6F0D483F82EF"),</t>
  </si>
  <si>
    <t>Guid.Parse("6A2CFF8B-5B23-42C7-AEB4-556ACBFE7789"),</t>
  </si>
  <si>
    <t>Guid.Parse("DC026177-6086-41C6-A5D3-028A739CFB75"),</t>
  </si>
  <si>
    <t>Guid.Parse("211C75B7-F28B-49E7-AA37-1704B88391E9"),</t>
  </si>
  <si>
    <t>Guid.Parse("AAF2AE71-CE64-4653-BD12-96B5915BEF60"),</t>
  </si>
  <si>
    <t>Guid.Parse("0239B492-88F1-4A79-BC6E-ED7504FE1E04"),</t>
  </si>
  <si>
    <t>Guid.Parse("38F5E4DA-97FA-4C0A-B363-95D0F79E50E2"),</t>
  </si>
  <si>
    <t>Guid.Parse("557A987F-6D11-4153-A509-FA957CA46641"),</t>
  </si>
  <si>
    <t>Guid.Parse("5AD7AD45-CC49-47C8-B8C9-0B46E6DF44DC"),</t>
  </si>
  <si>
    <t>Guid.Parse("E4B4A865-070B-4B5C-B5F1-0E4D7D58D157"),</t>
  </si>
  <si>
    <t>Guid.Parse("7A61B61D-D000-42B0-8AC6-920E952862EB"),</t>
  </si>
  <si>
    <t>Guid.Parse("042A6800-A977-443A-B4DC-E8E64487AF3C"),</t>
  </si>
  <si>
    <t>Guid.Parse("D40CD87B-87A5-415C-A6A8-FBEFE462F94B"),</t>
  </si>
  <si>
    <t>Guid.Parse("BF6E1716-5A00-46C0-87FA-87028B9C998B"),</t>
  </si>
  <si>
    <t>Guid.Parse("7A6F2E43-4C90-40BE-BFE9-BC99362F0B03"),</t>
  </si>
  <si>
    <t>Guid.Parse("F6BD0340-EB87-4992-B183-0C02874EF0CA"),</t>
  </si>
  <si>
    <t>Guid.Parse("DB986C8D-278C-4D5E-8DB4-0605C90EE1C0"),</t>
  </si>
  <si>
    <t>Guid.Parse("A1FBDB80-8B0A-4C5E-89E6-94F6F1EFD7D4"),</t>
  </si>
  <si>
    <t>Guid.Parse("BFA9650B-F5B4-4A00-BD71-FDCD529A36F5"),</t>
  </si>
  <si>
    <t>Guid.Parse("6ECCAB95-88D7-49F2-BCE7-B3302486F41F"),</t>
  </si>
  <si>
    <t>Guid.Parse("DF6954CE-4799-4EEE-995E-7309B0033E12"),</t>
  </si>
  <si>
    <t>Guid.Parse("EA299B56-18BE-4C7B-A17C-8F6A943EF588"),</t>
  </si>
  <si>
    <t>Guid.Parse("842512B3-FFC8-4B90-8AA1-2894E439CF32"),</t>
  </si>
  <si>
    <t>Guid.Parse("57F09AE8-6DCB-4128-8EF7-04E42AA20074"),</t>
  </si>
  <si>
    <t>Guid.Parse("D49BEFA8-69F1-4951-8D32-DD733F6728C9"),</t>
  </si>
  <si>
    <t>Guid.Parse("AAF60D27-1902-4880-876A-43C66B9E5439"),</t>
  </si>
  <si>
    <t>Guid.Parse("533C1FBA-A407-4A63-A490-91219504671E"),</t>
  </si>
  <si>
    <t>Guid.Parse("336BA65C-49FF-48FC-992A-D7F64B7F452F"),</t>
  </si>
  <si>
    <t>Guid.Parse("9898ED60-E11C-4F38-8635-47EA1E548A78"),</t>
  </si>
  <si>
    <t>Guid.Parse("5BB1F0C8-384A-47DB-A626-CFE7E9E24D29"),</t>
  </si>
  <si>
    <t>Guid.Parse("BA7DB685-0C8E-4287-A2A8-4934FF627C85"),</t>
  </si>
  <si>
    <t>Guid.Parse("1C14A119-BF8B-462D-A5D5-7F221CE4A630"),</t>
  </si>
  <si>
    <t>Guid.Parse("FE4E11D2-0565-4317-BE62-FFF05BBFA0DF"),</t>
  </si>
  <si>
    <t>Guid.Parse("1855A9E5-6B40-401D-A71F-D17AAF5B3942"),</t>
  </si>
  <si>
    <t>Guid.Parse("EA3D8E10-9B7E-436E-96AF-DC6DD44F0805"),</t>
  </si>
  <si>
    <t>Guid.Parse("2CEE913C-86B6-4617-B135-66AEFB6106D1"),</t>
  </si>
  <si>
    <t>Guid.Parse("4E8DA8C5-264A-43A9-9CB2-DE0C9F343CFA"),</t>
  </si>
  <si>
    <t>Guid.Parse("D95ED732-D417-47A9-A8C8-102929320B28"),</t>
  </si>
  <si>
    <t>Guid.Parse("ECC59C8A-9104-4148-8E7B-D640028AE409"),</t>
  </si>
  <si>
    <t>Guid.Parse("27AF0861-BF33-4369-85D6-621EA7FEE83E"),</t>
  </si>
  <si>
    <t>Guid.Parse("7CFA99E3-F372-4961-8405-147F95E8E2C1"),</t>
  </si>
  <si>
    <t>Guid.Parse("11A7CF15-D34E-44BC-B9B5-1FFAB378EF37"),</t>
  </si>
  <si>
    <t>Guid.Parse("CF1110A0-78F8-47DD-AF27-C65D06CF92FE"),</t>
  </si>
  <si>
    <t>Guid.Parse("2C2965CD-936A-484B-899F-F1C25D6C8F9B"),</t>
  </si>
  <si>
    <t>Guid.Parse("BEF19367-E367-4EBD-B273-459CDD00648A"),</t>
  </si>
  <si>
    <t>Guid.Parse("BA16AB33-624F-4A5D-A591-8DD62B366647"),</t>
  </si>
  <si>
    <t>Guid.Parse("952C2F01-01E8-4634-87A9-4161D0EF990E"),</t>
  </si>
  <si>
    <t>Guid.Parse("E03A3B24-A8D7-489C-AEE5-F6F9338CAD7E"),</t>
  </si>
  <si>
    <t>Guid.Parse("D7FEC80F-4B9B-4D15-B02B-1E11BE4208E4"),</t>
  </si>
  <si>
    <t>Guid.Parse("F90E7090-D304-4DDC-A622-C255FF735B2E"),</t>
  </si>
  <si>
    <t>Guid.Parse("C6051F9B-1BB8-4A49-B97A-CC346CE14102"),</t>
  </si>
  <si>
    <t>Guid.Parse("64E1ED61-2EFA-480D-8302-4CCDB5833C4E"),</t>
  </si>
  <si>
    <t>Guid.Parse("352842C2-F915-4DD8-919A-655127326F35"),</t>
  </si>
  <si>
    <t>Guid.Parse("C86B6877-10C5-403B-A286-C98E3EF1FAC6"),</t>
  </si>
  <si>
    <t>Guid.Parse("EA2B5B80-9798-4E65-96B7-FF722F3562A5"),</t>
  </si>
  <si>
    <t>Guid.Parse("FD4AFF57-E630-48F3-9C2A-3F622261A0BF"),</t>
  </si>
  <si>
    <t>Guid.Parse("B88E6B8F-3748-4B35-BF75-7F3DEC64D733"),</t>
  </si>
  <si>
    <t>Guid.Parse("B0BB9847-5596-45AE-A85B-F845ACE4B565"),</t>
  </si>
  <si>
    <t>Guid.Parse("10F55935-B892-4A1A-BB92-48CC591AE490"),</t>
  </si>
  <si>
    <t>Guid.Parse("35E36402-8E14-43C1-BCAD-6DEEDF8A4C10"),</t>
  </si>
  <si>
    <t>Guid.Parse("99CA268A-E218-48B8-9569-E10D2E17E350"),</t>
  </si>
  <si>
    <t>Guid.Parse("AC98441F-7076-4934-B16A-12D8FAD02368"),</t>
  </si>
  <si>
    <t>Guid.Parse("24F095F4-B678-4292-BC77-03AE0FC545B9"),</t>
  </si>
  <si>
    <t>Guid.Parse("03913EB3-80A6-463D-9C1D-36F308099DB5"),</t>
  </si>
  <si>
    <t>Guid.Parse("238AD5E5-E39B-40EE-8B38-37EF84F8DDA5"),</t>
  </si>
  <si>
    <t>Guid.Parse("286BE713-4598-49CE-B599-A1EEE83EA7FA"),</t>
  </si>
  <si>
    <t>Guid.Parse("DADAE484-048D-4063-826C-5479C7633F4B"),</t>
  </si>
  <si>
    <t>Guid.Parse("3BE159FD-38E8-4244-8F8A-7E4105F2BC84"),</t>
  </si>
  <si>
    <t>Guid.Parse("4A3BF462-850A-4856-82B2-3D9A7DAADE61"),</t>
  </si>
  <si>
    <t>Guid.Parse("41490960-34E5-49F5-97E0-CFC66460C38D"),</t>
  </si>
  <si>
    <t>Guid.Parse("35D25127-9E9A-4C51-A1AB-0E46BCD2F737"),</t>
  </si>
  <si>
    <t>Guid.Parse("B6A893C3-BFDE-4A9F-8844-15812E56F93B"),</t>
  </si>
  <si>
    <t>Guid.Parse("C9EF31C0-0B76-41BB-AD94-367824440E0C"),</t>
  </si>
  <si>
    <t>Guid.Parse("762F949D-BA05-464B-840B-512D66415F36"),</t>
  </si>
  <si>
    <t>Guid.Parse("9DBD70AF-D2C1-4F4D-A1DE-C7590FF02645"),</t>
  </si>
  <si>
    <t>Guid.Parse("8B13E51F-7358-42F0-A7A7-4AF7C98D112D"),</t>
  </si>
  <si>
    <t>Guid.Parse("69C1FD2E-2D3B-4DA5-B62B-EA5BFB964769"),</t>
  </si>
  <si>
    <t>Guid.Parse("B18C2F14-643C-4B3F-8B27-CD2A4B76DAD8"),</t>
  </si>
  <si>
    <t>Guid.Parse("B1A78B07-D79B-48C3-AC33-B393CA3DA8A4"),</t>
  </si>
  <si>
    <t>Guid.Parse("E89B19B6-A77C-4EF4-BD05-797ABB54E91A"),</t>
  </si>
  <si>
    <t>Guid.Parse("4C226A21-866B-4777-9A43-C97E5FF448F9"),</t>
  </si>
  <si>
    <t>Guid.Parse("60736172-D6A3-487A-8785-35A8E97D2693"),</t>
  </si>
  <si>
    <t>Guid.Parse("E77738D8-19EB-47F9-8528-F017D24CEDD4"),</t>
  </si>
  <si>
    <t>Guid.Parse("C84CA578-64E7-48A4-A51F-819981F235C0"),</t>
  </si>
  <si>
    <t>Guid.Parse("87AA5985-0DFF-4697-87BB-8D8B262D76BF"),</t>
  </si>
  <si>
    <t>Guid.Parse("54DE3018-D48F-43A4-B903-3C0BF4B12F18"),</t>
  </si>
  <si>
    <t>Guid.Parse("07E8BC73-693D-4791-9F02-F0AB22E1C804"),</t>
  </si>
  <si>
    <t>Guid.Parse("8C4A1F30-4E9A-4441-9F28-DACEE01B79BF"),</t>
  </si>
  <si>
    <t>Guid.Parse("9319055F-BC38-46DC-90C0-98A6CA3FB306"),</t>
  </si>
  <si>
    <t>Guid.Parse("A92D7141-0D95-4373-AD63-61E329885A4C"),</t>
  </si>
  <si>
    <t>Guid.Parse("553D7DCF-11A3-4E18-AAA8-62DB8D2D625D"),</t>
  </si>
  <si>
    <t>Guid.Parse("AA5D32E6-3369-43AA-AE29-C59E865BE2F5"),</t>
  </si>
  <si>
    <t>Guid.Parse("AB26CB1A-FDE4-4AA0-8DCE-FAA6BB5CDBDC"),</t>
  </si>
  <si>
    <t>Guid.Parse("4CB19AF0-88CC-4E63-BCB3-DCBFF6BD6DD3"),</t>
  </si>
  <si>
    <t>"اردبیل",</t>
  </si>
  <si>
    <t>"اصفهان",</t>
  </si>
  <si>
    <t>"البرز",</t>
  </si>
  <si>
    <t>"ایلام",</t>
  </si>
  <si>
    <t>"آذربایجان شرقی",</t>
  </si>
  <si>
    <t>"آذربایجان غربی",</t>
  </si>
  <si>
    <t>"بوشهر",</t>
  </si>
  <si>
    <t>"تهران",</t>
  </si>
  <si>
    <t>"چهارمحال و بختیاری",</t>
  </si>
  <si>
    <t>"خراسان جنوبی",</t>
  </si>
  <si>
    <t>"خراسان رضوی",</t>
  </si>
  <si>
    <t>"خراسان شمالی",</t>
  </si>
  <si>
    <t>"خوزستان",</t>
  </si>
  <si>
    <t>"زنجان",</t>
  </si>
  <si>
    <t>"سمنان",</t>
  </si>
  <si>
    <t>"سیستان و بلوچستان",</t>
  </si>
  <si>
    <t>"فارس",</t>
  </si>
  <si>
    <t>"قزوین",</t>
  </si>
  <si>
    <t>"قم",</t>
  </si>
  <si>
    <t>"کردستان",</t>
  </si>
  <si>
    <t>"کرمان",</t>
  </si>
  <si>
    <t>"کرمانشاه",</t>
  </si>
  <si>
    <t>"کهگیلویه و بویراحمد",</t>
  </si>
  <si>
    <t>"گلستان",</t>
  </si>
  <si>
    <t>"گیلان",</t>
  </si>
  <si>
    <t>"لرستان",</t>
  </si>
  <si>
    <t>"مازندران",</t>
  </si>
  <si>
    <t>"مرکزی",</t>
  </si>
  <si>
    <t>"هرمزگان",</t>
  </si>
  <si>
    <t>"همدان",</t>
  </si>
  <si>
    <t>"یزد",</t>
  </si>
  <si>
    <t>1,</t>
  </si>
  <si>
    <t>"اوهایو",</t>
  </si>
  <si>
    <t>"ایلینوی",</t>
  </si>
  <si>
    <t>"آریزونا",</t>
  </si>
  <si>
    <t>"پنسیلوانیا",</t>
  </si>
  <si>
    <t>"تگزاس",</t>
  </si>
  <si>
    <t>"جورجیا",</t>
  </si>
  <si>
    <t>"فلوریدا",</t>
  </si>
  <si>
    <t>"کارولینای شمالی",</t>
  </si>
  <si>
    <t>"ماساچوست",</t>
  </si>
  <si>
    <t>"میشیگان",</t>
  </si>
  <si>
    <t>"نیوجرسی",</t>
  </si>
  <si>
    <t>"نیویورک",</t>
  </si>
  <si>
    <t>"واشینگتن",</t>
  </si>
  <si>
    <t>"ویرجینیا",</t>
  </si>
  <si>
    <t>24,</t>
  </si>
  <si>
    <t>"آلبرتا",</t>
  </si>
  <si>
    <t>"بریتیش کلمبیا",</t>
  </si>
  <si>
    <t>"جزیره پرنس ادوارد",</t>
  </si>
  <si>
    <t>"ساسکاچوان",</t>
  </si>
  <si>
    <t>"کبک",</t>
  </si>
  <si>
    <t>"مانیتوبا",</t>
  </si>
  <si>
    <t>"نوا اسکوشیا",</t>
  </si>
  <si>
    <t>"نیوبرانزویک",</t>
  </si>
  <si>
    <t>"نیوفاندلند و لابرادور",</t>
  </si>
  <si>
    <t>"بادن-وورتمبرگ",</t>
  </si>
  <si>
    <t>"براندنبورگ",</t>
  </si>
  <si>
    <t>"برلین",</t>
  </si>
  <si>
    <t>"زاکسن",</t>
  </si>
  <si>
    <t>"شلسویگ-هولشتاین",</t>
  </si>
  <si>
    <t>"نوردراین-وستفالن",</t>
  </si>
  <si>
    <t>"نیدرزاکسن",</t>
  </si>
  <si>
    <t>"هامبورگ",</t>
  </si>
  <si>
    <t>"هسن",</t>
  </si>
  <si>
    <t>32,</t>
  </si>
  <si>
    <t>127,</t>
  </si>
  <si>
    <t>"ازمیر",</t>
  </si>
  <si>
    <t>"استانبول",</t>
  </si>
  <si>
    <t>"آدانا",</t>
  </si>
  <si>
    <t>"آنتالیا",</t>
  </si>
  <si>
    <t>"آنکارا",</t>
  </si>
  <si>
    <t>"بورسا",</t>
  </si>
  <si>
    <t>"ترابزون",</t>
  </si>
  <si>
    <t>"شانلی‌اورفه",</t>
  </si>
  <si>
    <t>"غازی عینتاب",</t>
  </si>
  <si>
    <t>"قونیه",</t>
  </si>
  <si>
    <t>"استرالیای جنوبی",</t>
  </si>
  <si>
    <t>"استرالیای غربی",</t>
  </si>
  <si>
    <t>"تاسمانی",</t>
  </si>
  <si>
    <t>"قلمرو پایتخت استرالیا",</t>
  </si>
  <si>
    <t>"قلمرو شمالی",</t>
  </si>
  <si>
    <t>"کوئینزلند",</t>
  </si>
  <si>
    <t>"نیو ساوت ولز",</t>
  </si>
  <si>
    <t>"ویکتوریا",</t>
  </si>
  <si>
    <t>10,</t>
  </si>
  <si>
    <t>66,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</si>
</sst>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Vazir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shrinkToFit="1"/>
    </xf>
    <xf numFmtId="0" fontId="1" fillId="2" borderId="0" xfId="0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8EA5-56B5-46E8-9BDC-B702754A186A}">
  <dimension ref="A1:AB197"/>
  <sheetViews>
    <sheetView topLeftCell="Y175" workbookViewId="0">
      <selection activeCell="Y3" sqref="Y3:Y197"/>
    </sheetView>
  </sheetViews>
  <sheetFormatPr defaultRowHeight="19.5" x14ac:dyDescent="0.5"/>
  <cols>
    <col min="1" max="1" width="12.28515625" style="4" bestFit="1" customWidth="1"/>
    <col min="2" max="2" width="25.85546875" style="4" bestFit="1" customWidth="1"/>
    <col min="3" max="3" width="17" style="4" bestFit="1" customWidth="1"/>
    <col min="4" max="4" width="60.28515625" style="4" bestFit="1" customWidth="1"/>
    <col min="5" max="5" width="33.85546875" style="4" bestFit="1" customWidth="1"/>
    <col min="6" max="6" width="14.7109375" style="4" bestFit="1" customWidth="1"/>
    <col min="7" max="7" width="26.85546875" style="4" bestFit="1" customWidth="1"/>
    <col min="8" max="8" width="8.7109375" style="4" bestFit="1" customWidth="1"/>
    <col min="9" max="9" width="10" style="4" bestFit="1" customWidth="1"/>
    <col min="10" max="10" width="18.28515625" style="4" bestFit="1" customWidth="1"/>
    <col min="11" max="11" width="20" style="4" bestFit="1" customWidth="1"/>
    <col min="12" max="12" width="20" style="4" customWidth="1"/>
    <col min="13" max="23" width="11.5703125" style="9" customWidth="1"/>
    <col min="24" max="24" width="9.140625" style="4"/>
    <col min="25" max="25" width="224.140625" style="4" bestFit="1" customWidth="1"/>
    <col min="26" max="28" width="9.140625" style="4"/>
    <col min="29" max="29" width="45.85546875" style="4" bestFit="1" customWidth="1"/>
    <col min="30" max="16384" width="9.140625" style="4"/>
  </cols>
  <sheetData>
    <row r="1" spans="1:25" x14ac:dyDescent="0.5">
      <c r="A1" s="1" t="s">
        <v>11</v>
      </c>
      <c r="B1" s="3">
        <f ca="1">NOW()</f>
        <v>46106.184999305558</v>
      </c>
      <c r="C1" s="1" t="str">
        <f ca="1">TEXT(B1,"yyyy,m,d,h,m,s")</f>
        <v>2026,3,25,4,26,24</v>
      </c>
      <c r="D1" s="1"/>
      <c r="E1" s="1"/>
      <c r="F1" s="1"/>
      <c r="G1" s="1"/>
      <c r="H1" s="1"/>
      <c r="I1" s="1"/>
      <c r="J1" s="1"/>
      <c r="K1" s="1"/>
      <c r="L1" s="6"/>
    </row>
    <row r="2" spans="1:25" x14ac:dyDescent="0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7"/>
      <c r="Y2" s="5"/>
    </row>
    <row r="3" spans="1:25" x14ac:dyDescent="0.5">
      <c r="A3" s="1" t="str">
        <f>ROW()-ROW($A$2)&amp;","</f>
        <v>1,</v>
      </c>
      <c r="B3" s="1" t="s">
        <v>12</v>
      </c>
      <c r="C3" s="1" t="str">
        <f>"null,"</f>
        <v>null,</v>
      </c>
      <c r="D3" s="1" t="s">
        <v>208</v>
      </c>
      <c r="E3" s="1" t="str">
        <f ca="1">"new DateTime (" &amp; $C$1&amp;"),"</f>
        <v>new DateTime (2026,3,25,4,26,24),</v>
      </c>
      <c r="F3" s="1" t="str">
        <f>"null,"</f>
        <v>null,</v>
      </c>
      <c r="G3" s="1" t="s">
        <v>207</v>
      </c>
      <c r="H3" s="1" t="str">
        <f>"true,"</f>
        <v>true,</v>
      </c>
      <c r="I3" s="1" t="str">
        <f>"false,"</f>
        <v>false,</v>
      </c>
      <c r="J3" s="1" t="str">
        <f>"null,"</f>
        <v>null,</v>
      </c>
      <c r="K3" s="1" t="str">
        <f>"null"</f>
        <v>null</v>
      </c>
      <c r="L3" s="6"/>
      <c r="M3" s="10" t="str">
        <f>_xlfn.TEXTJOIN("=",FALSE,A$2,A3)</f>
        <v>Id=1,</v>
      </c>
      <c r="N3" s="10" t="str">
        <f>_xlfn.TEXTJOIN("=",FALSE,B$2,B3)</f>
        <v>Title="ایران",</v>
      </c>
      <c r="O3" s="10" t="str">
        <f>_xlfn.TEXTJOIN("=",FALSE,C$2,C3)</f>
        <v>ParentId=null,</v>
      </c>
      <c r="P3" s="10" t="str">
        <f>_xlfn.TEXTJOIN("=",FALSE,D$2,D3)</f>
        <v>Guid=Guid.Parse("EA67D95C-AD10-429B-8728-FEDC442C987A"),</v>
      </c>
      <c r="Q3" s="10" t="str">
        <f ca="1">_xlfn.TEXTJOIN("=",FALSE,E$2,E3)</f>
        <v>CreatedDate=new DateTime (2026,3,25,4,26,24),</v>
      </c>
      <c r="R3" s="10" t="str">
        <f>_xlfn.TEXTJOIN("=",FALSE,F$2,F3)</f>
        <v>CreatedUserId=null,</v>
      </c>
      <c r="S3" s="10" t="str">
        <f>_xlfn.TEXTJOIN("=",FALSE,G$2,G3)</f>
        <v>Description= "Created by seeding data",</v>
      </c>
      <c r="T3" s="10" t="str">
        <f>_xlfn.TEXTJOIN("=",FALSE,H$2,H3)</f>
        <v>IsActive=true,</v>
      </c>
      <c r="U3" s="10" t="str">
        <f>_xlfn.TEXTJOIN("=",FALSE,I$2,I3)</f>
        <v>IsDeleted=false,</v>
      </c>
      <c r="V3" s="10" t="str">
        <f>_xlfn.TEXTJOIN("=",FALSE,J$2,J3)</f>
        <v>LastModifiedDate=null,</v>
      </c>
      <c r="W3" s="10" t="str">
        <f>_xlfn.TEXTJOIN("=",FALSE,K$2,K3)</f>
        <v>LastModifiedUserId=null</v>
      </c>
      <c r="X3" s="9" t="str">
        <f ca="1">_xlfn.TEXTJOIN("",FALSE,M3:W3)</f>
        <v>Id=1,Title="ایران",ParentId=null,Guid=Guid.Parse("EA67D95C-AD10-429B-8728-FEDC442C987A"),CreatedDate=new DateTime (2026,3,25,4,26,24),CreatedUserId=null,Description= "Created by seeding data",IsActive=true,IsDeleted=false,LastModifiedDate=null,LastModifiedUserId=null</v>
      </c>
      <c r="Y3" s="9" t="str">
        <f ca="1">"new State{" &amp;X3&amp; "},"</f>
        <v>new State{Id=1,Title="ایران",ParentId=null,Guid=Guid.Parse("EA67D95C-AD10-429B-8728-FEDC442C987A"),CreatedDate=new DateTime (2026,3,25,4,26,24),CreatedUserId=null,Description= "Created by seeding data",IsActive=true,IsDeleted=false,LastModifiedDate=null,LastModifiedUserId=null},</v>
      </c>
    </row>
    <row r="4" spans="1:25" x14ac:dyDescent="0.5">
      <c r="A4" s="1" t="str">
        <f t="shared" ref="A4:A67" si="0">ROW()-ROW($A$2)&amp;","</f>
        <v>2,</v>
      </c>
      <c r="B4" s="1" t="s">
        <v>13</v>
      </c>
      <c r="C4" s="1" t="str">
        <f t="shared" ref="C4:C67" si="1">"null,"</f>
        <v>null,</v>
      </c>
      <c r="D4" s="1" t="s">
        <v>209</v>
      </c>
      <c r="E4" s="1" t="str">
        <f t="shared" ref="E4:E67" ca="1" si="2">"new DateTime (" &amp; $C$1&amp;"),"</f>
        <v>new DateTime (2026,3,25,4,26,24),</v>
      </c>
      <c r="F4" s="1" t="str">
        <f t="shared" ref="F4:F67" si="3">"null,"</f>
        <v>null,</v>
      </c>
      <c r="G4" s="1" t="s">
        <v>207</v>
      </c>
      <c r="H4" s="1" t="str">
        <f t="shared" ref="H4:H67" si="4">"true,"</f>
        <v>true,</v>
      </c>
      <c r="I4" s="1" t="str">
        <f t="shared" ref="I4:I67" si="5">"false,"</f>
        <v>false,</v>
      </c>
      <c r="J4" s="1" t="str">
        <f t="shared" ref="J4:J67" si="6">"null,"</f>
        <v>null,</v>
      </c>
      <c r="K4" s="1" t="str">
        <f t="shared" ref="K4:K67" si="7">"null"</f>
        <v>null</v>
      </c>
      <c r="L4" s="6"/>
      <c r="M4" s="10" t="str">
        <f>_xlfn.TEXTJOIN("=",FALSE,A$2,A4)</f>
        <v>Id=2,</v>
      </c>
      <c r="N4" s="10" t="str">
        <f>_xlfn.TEXTJOIN("=",FALSE,B$2,B4)</f>
        <v>Title="اتریش",</v>
      </c>
      <c r="O4" s="10" t="str">
        <f>_xlfn.TEXTJOIN("=",FALSE,C$2,C4)</f>
        <v>ParentId=null,</v>
      </c>
      <c r="P4" s="10" t="str">
        <f>_xlfn.TEXTJOIN("=",FALSE,D$2,D4)</f>
        <v>Guid=Guid.Parse("DBA40481-3887-4D1B-84CB-DF0E9B68B7A6"),</v>
      </c>
      <c r="Q4" s="10" t="str">
        <f t="shared" ref="Q4:Q67" ca="1" si="8">_xlfn.TEXTJOIN("=",FALSE,E$2,E4)</f>
        <v>CreatedDate=new DateTime (2026,3,25,4,26,24),</v>
      </c>
      <c r="R4" s="10" t="str">
        <f t="shared" ref="R4:R67" si="9">_xlfn.TEXTJOIN("=",FALSE,F$2,F4)</f>
        <v>CreatedUserId=null,</v>
      </c>
      <c r="S4" s="10" t="str">
        <f t="shared" ref="S4:S67" si="10">_xlfn.TEXTJOIN("=",FALSE,G$2,G4)</f>
        <v>Description= "Created by seeding data",</v>
      </c>
      <c r="T4" s="10" t="str">
        <f t="shared" ref="T4:T67" si="11">_xlfn.TEXTJOIN("=",FALSE,H$2,H4)</f>
        <v>IsActive=true,</v>
      </c>
      <c r="U4" s="10" t="str">
        <f t="shared" ref="U4:U67" si="12">_xlfn.TEXTJOIN("=",FALSE,I$2,I4)</f>
        <v>IsDeleted=false,</v>
      </c>
      <c r="V4" s="10" t="str">
        <f t="shared" ref="V4:V67" si="13">_xlfn.TEXTJOIN("=",FALSE,J$2,J4)</f>
        <v>LastModifiedDate=null,</v>
      </c>
      <c r="W4" s="10" t="str">
        <f t="shared" ref="W4:W67" si="14">_xlfn.TEXTJOIN("=",FALSE,K$2,K4)</f>
        <v>LastModifiedUserId=null</v>
      </c>
      <c r="X4" s="9" t="str">
        <f t="shared" ref="X4:X67" ca="1" si="15">_xlfn.TEXTJOIN("",FALSE,M4:W4)</f>
        <v>Id=2,Title="اتریش",ParentId=null,Guid=Guid.Parse("DBA40481-3887-4D1B-84CB-DF0E9B68B7A6"),CreatedDate=new DateTime (2026,3,25,4,26,24),CreatedUserId=null,Description= "Created by seeding data",IsActive=true,IsDeleted=false,LastModifiedDate=null,LastModifiedUserId=null</v>
      </c>
      <c r="Y4" s="9" t="str">
        <f t="shared" ref="Y4:Y67" ca="1" si="16">"new State{" &amp;X4&amp; "},"</f>
        <v>new State{Id=2,Title="اتریش",ParentId=null,Guid=Guid.Parse("DBA40481-3887-4D1B-84CB-DF0E9B68B7A6"),CreatedDate=new DateTime (2026,3,25,4,26,24),CreatedUserId=null,Description= "Created by seeding data",IsActive=true,IsDeleted=false,LastModifiedDate=null,LastModifiedUserId=null},</v>
      </c>
    </row>
    <row r="5" spans="1:25" x14ac:dyDescent="0.5">
      <c r="A5" s="1" t="str">
        <f t="shared" si="0"/>
        <v>3,</v>
      </c>
      <c r="B5" s="1" t="s">
        <v>14</v>
      </c>
      <c r="C5" s="1" t="str">
        <f t="shared" si="1"/>
        <v>null,</v>
      </c>
      <c r="D5" s="1" t="s">
        <v>210</v>
      </c>
      <c r="E5" s="1" t="str">
        <f t="shared" ca="1" si="2"/>
        <v>new DateTime (2026,3,25,4,26,24),</v>
      </c>
      <c r="F5" s="1" t="str">
        <f t="shared" si="3"/>
        <v>null,</v>
      </c>
      <c r="G5" s="1" t="s">
        <v>207</v>
      </c>
      <c r="H5" s="1" t="str">
        <f t="shared" si="4"/>
        <v>true,</v>
      </c>
      <c r="I5" s="1" t="str">
        <f t="shared" si="5"/>
        <v>false,</v>
      </c>
      <c r="J5" s="1" t="str">
        <f t="shared" si="6"/>
        <v>null,</v>
      </c>
      <c r="K5" s="1" t="str">
        <f t="shared" si="7"/>
        <v>null</v>
      </c>
      <c r="L5" s="6"/>
      <c r="M5" s="10" t="str">
        <f>_xlfn.TEXTJOIN("=",FALSE,A$2,A5)</f>
        <v>Id=3,</v>
      </c>
      <c r="N5" s="10" t="str">
        <f>_xlfn.TEXTJOIN("=",FALSE,B$2,B5)</f>
        <v>Title="اتیوپی",</v>
      </c>
      <c r="O5" s="10" t="str">
        <f>_xlfn.TEXTJOIN("=",FALSE,C$2,C5)</f>
        <v>ParentId=null,</v>
      </c>
      <c r="P5" s="10" t="str">
        <f>_xlfn.TEXTJOIN("=",FALSE,D$2,D5)</f>
        <v>Guid=Guid.Parse("B12672CD-2F24-4C3F-B21E-26F1244B79CA"),</v>
      </c>
      <c r="Q5" s="10" t="str">
        <f t="shared" ca="1" si="8"/>
        <v>CreatedDate=new DateTime (2026,3,25,4,26,24),</v>
      </c>
      <c r="R5" s="10" t="str">
        <f t="shared" si="9"/>
        <v>CreatedUserId=null,</v>
      </c>
      <c r="S5" s="10" t="str">
        <f t="shared" si="10"/>
        <v>Description= "Created by seeding data",</v>
      </c>
      <c r="T5" s="10" t="str">
        <f t="shared" si="11"/>
        <v>IsActive=true,</v>
      </c>
      <c r="U5" s="10" t="str">
        <f t="shared" si="12"/>
        <v>IsDeleted=false,</v>
      </c>
      <c r="V5" s="10" t="str">
        <f t="shared" si="13"/>
        <v>LastModifiedDate=null,</v>
      </c>
      <c r="W5" s="10" t="str">
        <f t="shared" si="14"/>
        <v>LastModifiedUserId=null</v>
      </c>
      <c r="X5" s="9" t="str">
        <f t="shared" ca="1" si="15"/>
        <v>Id=3,Title="اتیوپی",ParentId=null,Guid=Guid.Parse("B12672CD-2F24-4C3F-B21E-26F1244B79CA"),CreatedDate=new DateTime (2026,3,25,4,26,24),CreatedUserId=null,Description= "Created by seeding data",IsActive=true,IsDeleted=false,LastModifiedDate=null,LastModifiedUserId=null</v>
      </c>
      <c r="Y5" s="9" t="str">
        <f t="shared" ca="1" si="16"/>
        <v>new State{Id=3,Title="اتیوپی",ParentId=null,Guid=Guid.Parse("B12672CD-2F24-4C3F-B21E-26F1244B79CA"),CreatedDate=new DateTime (2026,3,25,4,26,24),CreatedUserId=null,Description= "Created by seeding data",IsActive=true,IsDeleted=false,LastModifiedDate=null,LastModifiedUserId=null},</v>
      </c>
    </row>
    <row r="6" spans="1:25" x14ac:dyDescent="0.5">
      <c r="A6" s="1" t="str">
        <f t="shared" si="0"/>
        <v>4,</v>
      </c>
      <c r="B6" s="1" t="s">
        <v>15</v>
      </c>
      <c r="C6" s="1" t="str">
        <f t="shared" si="1"/>
        <v>null,</v>
      </c>
      <c r="D6" s="1" t="s">
        <v>211</v>
      </c>
      <c r="E6" s="1" t="str">
        <f t="shared" ca="1" si="2"/>
        <v>new DateTime (2026,3,25,4,26,24),</v>
      </c>
      <c r="F6" s="1" t="str">
        <f t="shared" si="3"/>
        <v>null,</v>
      </c>
      <c r="G6" s="1" t="s">
        <v>207</v>
      </c>
      <c r="H6" s="1" t="str">
        <f t="shared" si="4"/>
        <v>true,</v>
      </c>
      <c r="I6" s="1" t="str">
        <f t="shared" si="5"/>
        <v>false,</v>
      </c>
      <c r="J6" s="1" t="str">
        <f t="shared" si="6"/>
        <v>null,</v>
      </c>
      <c r="K6" s="1" t="str">
        <f t="shared" si="7"/>
        <v>null</v>
      </c>
      <c r="L6" s="6"/>
      <c r="M6" s="10" t="str">
        <f>_xlfn.TEXTJOIN("=",FALSE,A$2,A6)</f>
        <v>Id=4,</v>
      </c>
      <c r="N6" s="10" t="str">
        <f>_xlfn.TEXTJOIN("=",FALSE,B$2,B6)</f>
        <v>Title="اردن",</v>
      </c>
      <c r="O6" s="10" t="str">
        <f>_xlfn.TEXTJOIN("=",FALSE,C$2,C6)</f>
        <v>ParentId=null,</v>
      </c>
      <c r="P6" s="10" t="str">
        <f>_xlfn.TEXTJOIN("=",FALSE,D$2,D6)</f>
        <v>Guid=Guid.Parse("02ACCC92-03A3-4A93-9688-DA2DEDDAF284"),</v>
      </c>
      <c r="Q6" s="10" t="str">
        <f t="shared" ca="1" si="8"/>
        <v>CreatedDate=new DateTime (2026,3,25,4,26,24),</v>
      </c>
      <c r="R6" s="10" t="str">
        <f t="shared" si="9"/>
        <v>CreatedUserId=null,</v>
      </c>
      <c r="S6" s="10" t="str">
        <f t="shared" si="10"/>
        <v>Description= "Created by seeding data",</v>
      </c>
      <c r="T6" s="10" t="str">
        <f t="shared" si="11"/>
        <v>IsActive=true,</v>
      </c>
      <c r="U6" s="10" t="str">
        <f t="shared" si="12"/>
        <v>IsDeleted=false,</v>
      </c>
      <c r="V6" s="10" t="str">
        <f t="shared" si="13"/>
        <v>LastModifiedDate=null,</v>
      </c>
      <c r="W6" s="10" t="str">
        <f t="shared" si="14"/>
        <v>LastModifiedUserId=null</v>
      </c>
      <c r="X6" s="9" t="str">
        <f t="shared" ca="1" si="15"/>
        <v>Id=4,Title="اردن",ParentId=null,Guid=Guid.Parse("02ACCC92-03A3-4A93-9688-DA2DEDDAF284"),CreatedDate=new DateTime (2026,3,25,4,26,24),CreatedUserId=null,Description= "Created by seeding data",IsActive=true,IsDeleted=false,LastModifiedDate=null,LastModifiedUserId=null</v>
      </c>
      <c r="Y6" s="9" t="str">
        <f t="shared" ca="1" si="16"/>
        <v>new State{Id=4,Title="اردن",ParentId=null,Guid=Guid.Parse("02ACCC92-03A3-4A93-9688-DA2DEDDAF284"),CreatedDate=new DateTime (2026,3,25,4,26,24),CreatedUserId=null,Description= "Created by seeding data",IsActive=true,IsDeleted=false,LastModifiedDate=null,LastModifiedUserId=null},</v>
      </c>
    </row>
    <row r="7" spans="1:25" x14ac:dyDescent="0.5">
      <c r="A7" s="1" t="str">
        <f t="shared" si="0"/>
        <v>5,</v>
      </c>
      <c r="B7" s="1" t="s">
        <v>16</v>
      </c>
      <c r="C7" s="1" t="str">
        <f t="shared" si="1"/>
        <v>null,</v>
      </c>
      <c r="D7" s="1" t="s">
        <v>212</v>
      </c>
      <c r="E7" s="1" t="str">
        <f t="shared" ca="1" si="2"/>
        <v>new DateTime (2026,3,25,4,26,24),</v>
      </c>
      <c r="F7" s="1" t="str">
        <f t="shared" si="3"/>
        <v>null,</v>
      </c>
      <c r="G7" s="1" t="s">
        <v>207</v>
      </c>
      <c r="H7" s="1" t="str">
        <f t="shared" si="4"/>
        <v>true,</v>
      </c>
      <c r="I7" s="1" t="str">
        <f t="shared" si="5"/>
        <v>false,</v>
      </c>
      <c r="J7" s="1" t="str">
        <f t="shared" si="6"/>
        <v>null,</v>
      </c>
      <c r="K7" s="1" t="str">
        <f t="shared" si="7"/>
        <v>null</v>
      </c>
      <c r="L7" s="6"/>
      <c r="M7" s="10" t="str">
        <f>_xlfn.TEXTJOIN("=",FALSE,A$2,A7)</f>
        <v>Id=5,</v>
      </c>
      <c r="N7" s="10" t="str">
        <f>_xlfn.TEXTJOIN("=",FALSE,B$2,B7)</f>
        <v>Title="ارمنستان",</v>
      </c>
      <c r="O7" s="10" t="str">
        <f>_xlfn.TEXTJOIN("=",FALSE,C$2,C7)</f>
        <v>ParentId=null,</v>
      </c>
      <c r="P7" s="10" t="str">
        <f>_xlfn.TEXTJOIN("=",FALSE,D$2,D7)</f>
        <v>Guid=Guid.Parse("6CECF227-0773-4918-8A4C-22A5D123A824"),</v>
      </c>
      <c r="Q7" s="10" t="str">
        <f t="shared" ca="1" si="8"/>
        <v>CreatedDate=new DateTime (2026,3,25,4,26,24),</v>
      </c>
      <c r="R7" s="10" t="str">
        <f t="shared" si="9"/>
        <v>CreatedUserId=null,</v>
      </c>
      <c r="S7" s="10" t="str">
        <f t="shared" si="10"/>
        <v>Description= "Created by seeding data",</v>
      </c>
      <c r="T7" s="10" t="str">
        <f t="shared" si="11"/>
        <v>IsActive=true,</v>
      </c>
      <c r="U7" s="10" t="str">
        <f t="shared" si="12"/>
        <v>IsDeleted=false,</v>
      </c>
      <c r="V7" s="10" t="str">
        <f t="shared" si="13"/>
        <v>LastModifiedDate=null,</v>
      </c>
      <c r="W7" s="10" t="str">
        <f t="shared" si="14"/>
        <v>LastModifiedUserId=null</v>
      </c>
      <c r="X7" s="9" t="str">
        <f t="shared" ca="1" si="15"/>
        <v>Id=5,Title="ارمنستان",ParentId=null,Guid=Guid.Parse("6CECF227-0773-4918-8A4C-22A5D123A824"),CreatedDate=new DateTime (2026,3,25,4,26,24),CreatedUserId=null,Description= "Created by seeding data",IsActive=true,IsDeleted=false,LastModifiedDate=null,LastModifiedUserId=null</v>
      </c>
      <c r="Y7" s="9" t="str">
        <f t="shared" ca="1" si="16"/>
        <v>new State{Id=5,Title="ارمنستان",ParentId=null,Guid=Guid.Parse("6CECF227-0773-4918-8A4C-22A5D123A824"),CreatedDate=new DateTime (2026,3,25,4,26,24),CreatedUserId=null,Description= "Created by seeding data",IsActive=true,IsDeleted=false,LastModifiedDate=null,LastModifiedUserId=null},</v>
      </c>
    </row>
    <row r="8" spans="1:25" x14ac:dyDescent="0.5">
      <c r="A8" s="1" t="str">
        <f t="shared" si="0"/>
        <v>6,</v>
      </c>
      <c r="B8" s="1" t="s">
        <v>17</v>
      </c>
      <c r="C8" s="1" t="str">
        <f t="shared" si="1"/>
        <v>null,</v>
      </c>
      <c r="D8" s="1" t="s">
        <v>213</v>
      </c>
      <c r="E8" s="1" t="str">
        <f t="shared" ca="1" si="2"/>
        <v>new DateTime (2026,3,25,4,26,24),</v>
      </c>
      <c r="F8" s="1" t="str">
        <f t="shared" si="3"/>
        <v>null,</v>
      </c>
      <c r="G8" s="1" t="s">
        <v>207</v>
      </c>
      <c r="H8" s="1" t="str">
        <f t="shared" si="4"/>
        <v>true,</v>
      </c>
      <c r="I8" s="1" t="str">
        <f t="shared" si="5"/>
        <v>false,</v>
      </c>
      <c r="J8" s="1" t="str">
        <f t="shared" si="6"/>
        <v>null,</v>
      </c>
      <c r="K8" s="1" t="str">
        <f t="shared" si="7"/>
        <v>null</v>
      </c>
      <c r="L8" s="6"/>
      <c r="M8" s="10" t="str">
        <f>_xlfn.TEXTJOIN("=",FALSE,A$2,A8)</f>
        <v>Id=6,</v>
      </c>
      <c r="N8" s="10" t="str">
        <f>_xlfn.TEXTJOIN("=",FALSE,B$2,B8)</f>
        <v>Title="اروگوئه",</v>
      </c>
      <c r="O8" s="10" t="str">
        <f>_xlfn.TEXTJOIN("=",FALSE,C$2,C8)</f>
        <v>ParentId=null,</v>
      </c>
      <c r="P8" s="10" t="str">
        <f>_xlfn.TEXTJOIN("=",FALSE,D$2,D8)</f>
        <v>Guid=Guid.Parse("FB6689E8-65BE-464F-B342-B44B9E7C2943"),</v>
      </c>
      <c r="Q8" s="10" t="str">
        <f t="shared" ca="1" si="8"/>
        <v>CreatedDate=new DateTime (2026,3,25,4,26,24),</v>
      </c>
      <c r="R8" s="10" t="str">
        <f t="shared" si="9"/>
        <v>CreatedUserId=null,</v>
      </c>
      <c r="S8" s="10" t="str">
        <f t="shared" si="10"/>
        <v>Description= "Created by seeding data",</v>
      </c>
      <c r="T8" s="10" t="str">
        <f t="shared" si="11"/>
        <v>IsActive=true,</v>
      </c>
      <c r="U8" s="10" t="str">
        <f t="shared" si="12"/>
        <v>IsDeleted=false,</v>
      </c>
      <c r="V8" s="10" t="str">
        <f t="shared" si="13"/>
        <v>LastModifiedDate=null,</v>
      </c>
      <c r="W8" s="10" t="str">
        <f t="shared" si="14"/>
        <v>LastModifiedUserId=null</v>
      </c>
      <c r="X8" s="9" t="str">
        <f t="shared" ca="1" si="15"/>
        <v>Id=6,Title="اروگوئه",ParentId=null,Guid=Guid.Parse("FB6689E8-65BE-464F-B342-B44B9E7C2943"),CreatedDate=new DateTime (2026,3,25,4,26,24),CreatedUserId=null,Description= "Created by seeding data",IsActive=true,IsDeleted=false,LastModifiedDate=null,LastModifiedUserId=null</v>
      </c>
      <c r="Y8" s="9" t="str">
        <f t="shared" ca="1" si="16"/>
        <v>new State{Id=6,Title="اروگوئه",ParentId=null,Guid=Guid.Parse("FB6689E8-65BE-464F-B342-B44B9E7C2943"),CreatedDate=new DateTime (2026,3,25,4,26,24),CreatedUserId=null,Description= "Created by seeding data",IsActive=true,IsDeleted=false,LastModifiedDate=null,LastModifiedUserId=null},</v>
      </c>
    </row>
    <row r="9" spans="1:25" x14ac:dyDescent="0.5">
      <c r="A9" s="1" t="str">
        <f t="shared" si="0"/>
        <v>7,</v>
      </c>
      <c r="B9" s="1" t="s">
        <v>18</v>
      </c>
      <c r="C9" s="1" t="str">
        <f t="shared" si="1"/>
        <v>null,</v>
      </c>
      <c r="D9" s="1" t="s">
        <v>214</v>
      </c>
      <c r="E9" s="1" t="str">
        <f t="shared" ca="1" si="2"/>
        <v>new DateTime (2026,3,25,4,26,24),</v>
      </c>
      <c r="F9" s="1" t="str">
        <f t="shared" si="3"/>
        <v>null,</v>
      </c>
      <c r="G9" s="1" t="s">
        <v>207</v>
      </c>
      <c r="H9" s="1" t="str">
        <f t="shared" si="4"/>
        <v>true,</v>
      </c>
      <c r="I9" s="1" t="str">
        <f t="shared" si="5"/>
        <v>false,</v>
      </c>
      <c r="J9" s="1" t="str">
        <f t="shared" si="6"/>
        <v>null,</v>
      </c>
      <c r="K9" s="1" t="str">
        <f t="shared" si="7"/>
        <v>null</v>
      </c>
      <c r="L9" s="6"/>
      <c r="M9" s="10" t="str">
        <f>_xlfn.TEXTJOIN("=",FALSE,A$2,A9)</f>
        <v>Id=7,</v>
      </c>
      <c r="N9" s="10" t="str">
        <f>_xlfn.TEXTJOIN("=",FALSE,B$2,B9)</f>
        <v>Title="اریتره",</v>
      </c>
      <c r="O9" s="10" t="str">
        <f>_xlfn.TEXTJOIN("=",FALSE,C$2,C9)</f>
        <v>ParentId=null,</v>
      </c>
      <c r="P9" s="10" t="str">
        <f>_xlfn.TEXTJOIN("=",FALSE,D$2,D9)</f>
        <v>Guid=Guid.Parse("F9B9F626-D16A-4D98-8B3B-8082CA392E17"),</v>
      </c>
      <c r="Q9" s="10" t="str">
        <f t="shared" ca="1" si="8"/>
        <v>CreatedDate=new DateTime (2026,3,25,4,26,24),</v>
      </c>
      <c r="R9" s="10" t="str">
        <f t="shared" si="9"/>
        <v>CreatedUserId=null,</v>
      </c>
      <c r="S9" s="10" t="str">
        <f t="shared" si="10"/>
        <v>Description= "Created by seeding data",</v>
      </c>
      <c r="T9" s="10" t="str">
        <f t="shared" si="11"/>
        <v>IsActive=true,</v>
      </c>
      <c r="U9" s="10" t="str">
        <f t="shared" si="12"/>
        <v>IsDeleted=false,</v>
      </c>
      <c r="V9" s="10" t="str">
        <f t="shared" si="13"/>
        <v>LastModifiedDate=null,</v>
      </c>
      <c r="W9" s="10" t="str">
        <f t="shared" si="14"/>
        <v>LastModifiedUserId=null</v>
      </c>
      <c r="X9" s="9" t="str">
        <f t="shared" ca="1" si="15"/>
        <v>Id=7,Title="اریتره",ParentId=null,Guid=Guid.Parse("F9B9F626-D16A-4D98-8B3B-8082CA392E17"),CreatedDate=new DateTime (2026,3,25,4,26,24),CreatedUserId=null,Description= "Created by seeding data",IsActive=true,IsDeleted=false,LastModifiedDate=null,LastModifiedUserId=null</v>
      </c>
      <c r="Y9" s="9" t="str">
        <f t="shared" ca="1" si="16"/>
        <v>new State{Id=7,Title="اریتره",ParentId=null,Guid=Guid.Parse("F9B9F626-D16A-4D98-8B3B-8082CA392E17"),CreatedDate=new DateTime (2026,3,25,4,26,24),CreatedUserId=null,Description= "Created by seeding data",IsActive=true,IsDeleted=false,LastModifiedDate=null,LastModifiedUserId=null},</v>
      </c>
    </row>
    <row r="10" spans="1:25" x14ac:dyDescent="0.5">
      <c r="A10" s="1" t="str">
        <f t="shared" si="0"/>
        <v>8,</v>
      </c>
      <c r="B10" s="1" t="s">
        <v>19</v>
      </c>
      <c r="C10" s="1" t="str">
        <f t="shared" si="1"/>
        <v>null,</v>
      </c>
      <c r="D10" s="1" t="s">
        <v>215</v>
      </c>
      <c r="E10" s="1" t="str">
        <f t="shared" ca="1" si="2"/>
        <v>new DateTime (2026,3,25,4,26,24),</v>
      </c>
      <c r="F10" s="1" t="str">
        <f t="shared" si="3"/>
        <v>null,</v>
      </c>
      <c r="G10" s="1" t="s">
        <v>207</v>
      </c>
      <c r="H10" s="1" t="str">
        <f t="shared" si="4"/>
        <v>true,</v>
      </c>
      <c r="I10" s="1" t="str">
        <f t="shared" si="5"/>
        <v>false,</v>
      </c>
      <c r="J10" s="1" t="str">
        <f t="shared" si="6"/>
        <v>null,</v>
      </c>
      <c r="K10" s="1" t="str">
        <f t="shared" si="7"/>
        <v>null</v>
      </c>
      <c r="L10" s="6"/>
      <c r="M10" s="10" t="str">
        <f>_xlfn.TEXTJOIN("=",FALSE,A$2,A10)</f>
        <v>Id=8,</v>
      </c>
      <c r="N10" s="10" t="str">
        <f>_xlfn.TEXTJOIN("=",FALSE,B$2,B10)</f>
        <v>Title="ازبکستان",</v>
      </c>
      <c r="O10" s="10" t="str">
        <f>_xlfn.TEXTJOIN("=",FALSE,C$2,C10)</f>
        <v>ParentId=null,</v>
      </c>
      <c r="P10" s="10" t="str">
        <f>_xlfn.TEXTJOIN("=",FALSE,D$2,D10)</f>
        <v>Guid=Guid.Parse("B0CAFF84-9017-4553-8F8D-B44750585FF7"),</v>
      </c>
      <c r="Q10" s="10" t="str">
        <f t="shared" ca="1" si="8"/>
        <v>CreatedDate=new DateTime (2026,3,25,4,26,24),</v>
      </c>
      <c r="R10" s="10" t="str">
        <f t="shared" si="9"/>
        <v>CreatedUserId=null,</v>
      </c>
      <c r="S10" s="10" t="str">
        <f t="shared" si="10"/>
        <v>Description= "Created by seeding data",</v>
      </c>
      <c r="T10" s="10" t="str">
        <f t="shared" si="11"/>
        <v>IsActive=true,</v>
      </c>
      <c r="U10" s="10" t="str">
        <f t="shared" si="12"/>
        <v>IsDeleted=false,</v>
      </c>
      <c r="V10" s="10" t="str">
        <f t="shared" si="13"/>
        <v>LastModifiedDate=null,</v>
      </c>
      <c r="W10" s="10" t="str">
        <f t="shared" si="14"/>
        <v>LastModifiedUserId=null</v>
      </c>
      <c r="X10" s="9" t="str">
        <f t="shared" ca="1" si="15"/>
        <v>Id=8,Title="ازبکستان",ParentId=null,Guid=Guid.Parse("B0CAFF84-9017-4553-8F8D-B44750585FF7"),CreatedDate=new DateTime (2026,3,25,4,26,24),CreatedUserId=null,Description= "Created by seeding data",IsActive=true,IsDeleted=false,LastModifiedDate=null,LastModifiedUserId=null</v>
      </c>
      <c r="Y10" s="9" t="str">
        <f t="shared" ca="1" si="16"/>
        <v>new State{Id=8,Title="ازبکستان",ParentId=null,Guid=Guid.Parse("B0CAFF84-9017-4553-8F8D-B44750585FF7"),CreatedDate=new DateTime (2026,3,25,4,26,24),CreatedUserId=null,Description= "Created by seeding data",IsActive=true,IsDeleted=false,LastModifiedDate=null,LastModifiedUserId=null},</v>
      </c>
    </row>
    <row r="11" spans="1:25" x14ac:dyDescent="0.5">
      <c r="A11" s="1" t="str">
        <f t="shared" si="0"/>
        <v>9,</v>
      </c>
      <c r="B11" s="1" t="s">
        <v>20</v>
      </c>
      <c r="C11" s="1" t="str">
        <f t="shared" si="1"/>
        <v>null,</v>
      </c>
      <c r="D11" s="1" t="s">
        <v>216</v>
      </c>
      <c r="E11" s="1" t="str">
        <f t="shared" ca="1" si="2"/>
        <v>new DateTime (2026,3,25,4,26,24),</v>
      </c>
      <c r="F11" s="1" t="str">
        <f t="shared" si="3"/>
        <v>null,</v>
      </c>
      <c r="G11" s="1" t="s">
        <v>207</v>
      </c>
      <c r="H11" s="1" t="str">
        <f t="shared" si="4"/>
        <v>true,</v>
      </c>
      <c r="I11" s="1" t="str">
        <f t="shared" si="5"/>
        <v>false,</v>
      </c>
      <c r="J11" s="1" t="str">
        <f t="shared" si="6"/>
        <v>null,</v>
      </c>
      <c r="K11" s="1" t="str">
        <f t="shared" si="7"/>
        <v>null</v>
      </c>
      <c r="L11" s="6"/>
      <c r="M11" s="10" t="str">
        <f>_xlfn.TEXTJOIN("=",FALSE,A$2,A11)</f>
        <v>Id=9,</v>
      </c>
      <c r="N11" s="10" t="str">
        <f>_xlfn.TEXTJOIN("=",FALSE,B$2,B11)</f>
        <v>Title="اسپانیا",</v>
      </c>
      <c r="O11" s="10" t="str">
        <f>_xlfn.TEXTJOIN("=",FALSE,C$2,C11)</f>
        <v>ParentId=null,</v>
      </c>
      <c r="P11" s="10" t="str">
        <f>_xlfn.TEXTJOIN("=",FALSE,D$2,D11)</f>
        <v>Guid=Guid.Parse("9941FFC5-135B-416D-80D2-533B99B60A1F"),</v>
      </c>
      <c r="Q11" s="10" t="str">
        <f t="shared" ca="1" si="8"/>
        <v>CreatedDate=new DateTime (2026,3,25,4,26,24),</v>
      </c>
      <c r="R11" s="10" t="str">
        <f t="shared" si="9"/>
        <v>CreatedUserId=null,</v>
      </c>
      <c r="S11" s="10" t="str">
        <f t="shared" si="10"/>
        <v>Description= "Created by seeding data",</v>
      </c>
      <c r="T11" s="10" t="str">
        <f t="shared" si="11"/>
        <v>IsActive=true,</v>
      </c>
      <c r="U11" s="10" t="str">
        <f t="shared" si="12"/>
        <v>IsDeleted=false,</v>
      </c>
      <c r="V11" s="10" t="str">
        <f t="shared" si="13"/>
        <v>LastModifiedDate=null,</v>
      </c>
      <c r="W11" s="10" t="str">
        <f t="shared" si="14"/>
        <v>LastModifiedUserId=null</v>
      </c>
      <c r="X11" s="9" t="str">
        <f t="shared" ca="1" si="15"/>
        <v>Id=9,Title="اسپانیا",ParentId=null,Guid=Guid.Parse("9941FFC5-135B-416D-80D2-533B99B60A1F"),CreatedDate=new DateTime (2026,3,25,4,26,24),CreatedUserId=null,Description= "Created by seeding data",IsActive=true,IsDeleted=false,LastModifiedDate=null,LastModifiedUserId=null</v>
      </c>
      <c r="Y11" s="9" t="str">
        <f t="shared" ca="1" si="16"/>
        <v>new State{Id=9,Title="اسپانیا",ParentId=null,Guid=Guid.Parse("9941FFC5-135B-416D-80D2-533B99B60A1F"),CreatedDate=new DateTime (2026,3,25,4,26,24),CreatedUserId=null,Description= "Created by seeding data",IsActive=true,IsDeleted=false,LastModifiedDate=null,LastModifiedUserId=null},</v>
      </c>
    </row>
    <row r="12" spans="1:25" x14ac:dyDescent="0.5">
      <c r="A12" s="1" t="str">
        <f t="shared" si="0"/>
        <v>10,</v>
      </c>
      <c r="B12" s="1" t="s">
        <v>21</v>
      </c>
      <c r="C12" s="1" t="str">
        <f t="shared" si="1"/>
        <v>null,</v>
      </c>
      <c r="D12" s="1" t="s">
        <v>217</v>
      </c>
      <c r="E12" s="1" t="str">
        <f t="shared" ca="1" si="2"/>
        <v>new DateTime (2026,3,25,4,26,24),</v>
      </c>
      <c r="F12" s="1" t="str">
        <f t="shared" si="3"/>
        <v>null,</v>
      </c>
      <c r="G12" s="1" t="s">
        <v>207</v>
      </c>
      <c r="H12" s="1" t="str">
        <f t="shared" si="4"/>
        <v>true,</v>
      </c>
      <c r="I12" s="1" t="str">
        <f t="shared" si="5"/>
        <v>false,</v>
      </c>
      <c r="J12" s="1" t="str">
        <f t="shared" si="6"/>
        <v>null,</v>
      </c>
      <c r="K12" s="1" t="str">
        <f t="shared" si="7"/>
        <v>null</v>
      </c>
      <c r="L12" s="6"/>
      <c r="M12" s="10" t="str">
        <f>_xlfn.TEXTJOIN("=",FALSE,A$2,A12)</f>
        <v>Id=10,</v>
      </c>
      <c r="N12" s="10" t="str">
        <f>_xlfn.TEXTJOIN("=",FALSE,B$2,B12)</f>
        <v>Title="استرالیا",</v>
      </c>
      <c r="O12" s="10" t="str">
        <f>_xlfn.TEXTJOIN("=",FALSE,C$2,C12)</f>
        <v>ParentId=null,</v>
      </c>
      <c r="P12" s="10" t="str">
        <f>_xlfn.TEXTJOIN("=",FALSE,D$2,D12)</f>
        <v>Guid=Guid.Parse("0A151F0C-EE74-4E43-BE68-3CF59984F0DC"),</v>
      </c>
      <c r="Q12" s="10" t="str">
        <f t="shared" ca="1" si="8"/>
        <v>CreatedDate=new DateTime (2026,3,25,4,26,24),</v>
      </c>
      <c r="R12" s="10" t="str">
        <f t="shared" si="9"/>
        <v>CreatedUserId=null,</v>
      </c>
      <c r="S12" s="10" t="str">
        <f t="shared" si="10"/>
        <v>Description= "Created by seeding data",</v>
      </c>
      <c r="T12" s="10" t="str">
        <f t="shared" si="11"/>
        <v>IsActive=true,</v>
      </c>
      <c r="U12" s="10" t="str">
        <f t="shared" si="12"/>
        <v>IsDeleted=false,</v>
      </c>
      <c r="V12" s="10" t="str">
        <f t="shared" si="13"/>
        <v>LastModifiedDate=null,</v>
      </c>
      <c r="W12" s="10" t="str">
        <f t="shared" si="14"/>
        <v>LastModifiedUserId=null</v>
      </c>
      <c r="X12" s="9" t="str">
        <f t="shared" ca="1" si="15"/>
        <v>Id=10,Title="استرالیا",ParentId=null,Guid=Guid.Parse("0A151F0C-EE74-4E43-BE68-3CF59984F0DC"),CreatedDate=new DateTime (2026,3,25,4,26,24),CreatedUserId=null,Description= "Created by seeding data",IsActive=true,IsDeleted=false,LastModifiedDate=null,LastModifiedUserId=null</v>
      </c>
      <c r="Y12" s="9" t="str">
        <f t="shared" ca="1" si="16"/>
        <v>new State{Id=10,Title="استرالیا",ParentId=null,Guid=Guid.Parse("0A151F0C-EE74-4E43-BE68-3CF59984F0DC"),CreatedDate=new DateTime (2026,3,25,4,26,24),CreatedUserId=null,Description= "Created by seeding data",IsActive=true,IsDeleted=false,LastModifiedDate=null,LastModifiedUserId=null},</v>
      </c>
    </row>
    <row r="13" spans="1:25" x14ac:dyDescent="0.5">
      <c r="A13" s="1" t="str">
        <f t="shared" si="0"/>
        <v>11,</v>
      </c>
      <c r="B13" s="1" t="s">
        <v>22</v>
      </c>
      <c r="C13" s="1" t="str">
        <f t="shared" si="1"/>
        <v>null,</v>
      </c>
      <c r="D13" s="1" t="s">
        <v>218</v>
      </c>
      <c r="E13" s="1" t="str">
        <f t="shared" ca="1" si="2"/>
        <v>new DateTime (2026,3,25,4,26,24),</v>
      </c>
      <c r="F13" s="1" t="str">
        <f t="shared" si="3"/>
        <v>null,</v>
      </c>
      <c r="G13" s="1" t="s">
        <v>207</v>
      </c>
      <c r="H13" s="1" t="str">
        <f t="shared" si="4"/>
        <v>true,</v>
      </c>
      <c r="I13" s="1" t="str">
        <f t="shared" si="5"/>
        <v>false,</v>
      </c>
      <c r="J13" s="1" t="str">
        <f t="shared" si="6"/>
        <v>null,</v>
      </c>
      <c r="K13" s="1" t="str">
        <f t="shared" si="7"/>
        <v>null</v>
      </c>
      <c r="L13" s="6"/>
      <c r="M13" s="10" t="str">
        <f>_xlfn.TEXTJOIN("=",FALSE,A$2,A13)</f>
        <v>Id=11,</v>
      </c>
      <c r="N13" s="10" t="str">
        <f>_xlfn.TEXTJOIN("=",FALSE,B$2,B13)</f>
        <v>Title="استونی",</v>
      </c>
      <c r="O13" s="10" t="str">
        <f>_xlfn.TEXTJOIN("=",FALSE,C$2,C13)</f>
        <v>ParentId=null,</v>
      </c>
      <c r="P13" s="10" t="str">
        <f>_xlfn.TEXTJOIN("=",FALSE,D$2,D13)</f>
        <v>Guid=Guid.Parse("4888D06E-5795-4858-BDD2-BE18B36CC60A"),</v>
      </c>
      <c r="Q13" s="10" t="str">
        <f t="shared" ca="1" si="8"/>
        <v>CreatedDate=new DateTime (2026,3,25,4,26,24),</v>
      </c>
      <c r="R13" s="10" t="str">
        <f t="shared" si="9"/>
        <v>CreatedUserId=null,</v>
      </c>
      <c r="S13" s="10" t="str">
        <f t="shared" si="10"/>
        <v>Description= "Created by seeding data",</v>
      </c>
      <c r="T13" s="10" t="str">
        <f t="shared" si="11"/>
        <v>IsActive=true,</v>
      </c>
      <c r="U13" s="10" t="str">
        <f t="shared" si="12"/>
        <v>IsDeleted=false,</v>
      </c>
      <c r="V13" s="10" t="str">
        <f t="shared" si="13"/>
        <v>LastModifiedDate=null,</v>
      </c>
      <c r="W13" s="10" t="str">
        <f t="shared" si="14"/>
        <v>LastModifiedUserId=null</v>
      </c>
      <c r="X13" s="9" t="str">
        <f t="shared" ca="1" si="15"/>
        <v>Id=11,Title="استونی",ParentId=null,Guid=Guid.Parse("4888D06E-5795-4858-BDD2-BE18B36CC60A"),CreatedDate=new DateTime (2026,3,25,4,26,24),CreatedUserId=null,Description= "Created by seeding data",IsActive=true,IsDeleted=false,LastModifiedDate=null,LastModifiedUserId=null</v>
      </c>
      <c r="Y13" s="9" t="str">
        <f t="shared" ca="1" si="16"/>
        <v>new State{Id=11,Title="استونی",ParentId=null,Guid=Guid.Parse("4888D06E-5795-4858-BDD2-BE18B36CC60A"),CreatedDate=new DateTime (2026,3,25,4,26,24),CreatedUserId=null,Description= "Created by seeding data",IsActive=true,IsDeleted=false,LastModifiedDate=null,LastModifiedUserId=null},</v>
      </c>
    </row>
    <row r="14" spans="1:25" x14ac:dyDescent="0.5">
      <c r="A14" s="1" t="str">
        <f t="shared" si="0"/>
        <v>12,</v>
      </c>
      <c r="B14" s="1" t="s">
        <v>23</v>
      </c>
      <c r="C14" s="1" t="str">
        <f t="shared" si="1"/>
        <v>null,</v>
      </c>
      <c r="D14" s="1" t="s">
        <v>219</v>
      </c>
      <c r="E14" s="1" t="str">
        <f t="shared" ca="1" si="2"/>
        <v>new DateTime (2026,3,25,4,26,24),</v>
      </c>
      <c r="F14" s="1" t="str">
        <f t="shared" si="3"/>
        <v>null,</v>
      </c>
      <c r="G14" s="1" t="s">
        <v>207</v>
      </c>
      <c r="H14" s="1" t="str">
        <f t="shared" si="4"/>
        <v>true,</v>
      </c>
      <c r="I14" s="1" t="str">
        <f t="shared" si="5"/>
        <v>false,</v>
      </c>
      <c r="J14" s="1" t="str">
        <f t="shared" si="6"/>
        <v>null,</v>
      </c>
      <c r="K14" s="1" t="str">
        <f t="shared" si="7"/>
        <v>null</v>
      </c>
      <c r="L14" s="6"/>
      <c r="M14" s="10" t="str">
        <f>_xlfn.TEXTJOIN("=",FALSE,A$2,A14)</f>
        <v>Id=12,</v>
      </c>
      <c r="N14" s="10" t="str">
        <f>_xlfn.TEXTJOIN("=",FALSE,B$2,B14)</f>
        <v>Title="اسرائیل",</v>
      </c>
      <c r="O14" s="10" t="str">
        <f>_xlfn.TEXTJOIN("=",FALSE,C$2,C14)</f>
        <v>ParentId=null,</v>
      </c>
      <c r="P14" s="10" t="str">
        <f>_xlfn.TEXTJOIN("=",FALSE,D$2,D14)</f>
        <v>Guid=Guid.Parse("7D9E9680-5CDE-421B-AB43-EC05A2EE0CFF"),</v>
      </c>
      <c r="Q14" s="10" t="str">
        <f t="shared" ca="1" si="8"/>
        <v>CreatedDate=new DateTime (2026,3,25,4,26,24),</v>
      </c>
      <c r="R14" s="10" t="str">
        <f t="shared" si="9"/>
        <v>CreatedUserId=null,</v>
      </c>
      <c r="S14" s="10" t="str">
        <f t="shared" si="10"/>
        <v>Description= "Created by seeding data",</v>
      </c>
      <c r="T14" s="10" t="str">
        <f t="shared" si="11"/>
        <v>IsActive=true,</v>
      </c>
      <c r="U14" s="10" t="str">
        <f t="shared" si="12"/>
        <v>IsDeleted=false,</v>
      </c>
      <c r="V14" s="10" t="str">
        <f t="shared" si="13"/>
        <v>LastModifiedDate=null,</v>
      </c>
      <c r="W14" s="10" t="str">
        <f t="shared" si="14"/>
        <v>LastModifiedUserId=null</v>
      </c>
      <c r="X14" s="9" t="str">
        <f t="shared" ca="1" si="15"/>
        <v>Id=12,Title="اسرائیل",ParentId=null,Guid=Guid.Parse("7D9E9680-5CDE-421B-AB43-EC05A2EE0CFF"),CreatedDate=new DateTime (2026,3,25,4,26,24),CreatedUserId=null,Description= "Created by seeding data",IsActive=true,IsDeleted=false,LastModifiedDate=null,LastModifiedUserId=null</v>
      </c>
      <c r="Y14" s="9" t="str">
        <f t="shared" ca="1" si="16"/>
        <v>new State{Id=12,Title="اسرائیل",ParentId=null,Guid=Guid.Parse("7D9E9680-5CDE-421B-AB43-EC05A2EE0CFF"),CreatedDate=new DateTime (2026,3,25,4,26,24),CreatedUserId=null,Description= "Created by seeding data",IsActive=true,IsDeleted=false,LastModifiedDate=null,LastModifiedUserId=null},</v>
      </c>
    </row>
    <row r="15" spans="1:25" x14ac:dyDescent="0.5">
      <c r="A15" s="1" t="str">
        <f t="shared" si="0"/>
        <v>13,</v>
      </c>
      <c r="B15" s="1" t="s">
        <v>24</v>
      </c>
      <c r="C15" s="1" t="str">
        <f t="shared" si="1"/>
        <v>null,</v>
      </c>
      <c r="D15" s="1" t="s">
        <v>220</v>
      </c>
      <c r="E15" s="1" t="str">
        <f t="shared" ca="1" si="2"/>
        <v>new DateTime (2026,3,25,4,26,24),</v>
      </c>
      <c r="F15" s="1" t="str">
        <f t="shared" si="3"/>
        <v>null,</v>
      </c>
      <c r="G15" s="1" t="s">
        <v>207</v>
      </c>
      <c r="H15" s="1" t="str">
        <f t="shared" si="4"/>
        <v>true,</v>
      </c>
      <c r="I15" s="1" t="str">
        <f t="shared" si="5"/>
        <v>false,</v>
      </c>
      <c r="J15" s="1" t="str">
        <f t="shared" si="6"/>
        <v>null,</v>
      </c>
      <c r="K15" s="1" t="str">
        <f t="shared" si="7"/>
        <v>null</v>
      </c>
      <c r="L15" s="6"/>
      <c r="M15" s="10" t="str">
        <f>_xlfn.TEXTJOIN("=",FALSE,A$2,A15)</f>
        <v>Id=13,</v>
      </c>
      <c r="N15" s="10" t="str">
        <f>_xlfn.TEXTJOIN("=",FALSE,B$2,B15)</f>
        <v>Title="اسلواکی",</v>
      </c>
      <c r="O15" s="10" t="str">
        <f>_xlfn.TEXTJOIN("=",FALSE,C$2,C15)</f>
        <v>ParentId=null,</v>
      </c>
      <c r="P15" s="10" t="str">
        <f>_xlfn.TEXTJOIN("=",FALSE,D$2,D15)</f>
        <v>Guid=Guid.Parse("23AFDA54-E86A-4D4A-9F59-5C572CF72245"),</v>
      </c>
      <c r="Q15" s="10" t="str">
        <f t="shared" ca="1" si="8"/>
        <v>CreatedDate=new DateTime (2026,3,25,4,26,24),</v>
      </c>
      <c r="R15" s="10" t="str">
        <f t="shared" si="9"/>
        <v>CreatedUserId=null,</v>
      </c>
      <c r="S15" s="10" t="str">
        <f t="shared" si="10"/>
        <v>Description= "Created by seeding data",</v>
      </c>
      <c r="T15" s="10" t="str">
        <f t="shared" si="11"/>
        <v>IsActive=true,</v>
      </c>
      <c r="U15" s="10" t="str">
        <f t="shared" si="12"/>
        <v>IsDeleted=false,</v>
      </c>
      <c r="V15" s="10" t="str">
        <f t="shared" si="13"/>
        <v>LastModifiedDate=null,</v>
      </c>
      <c r="W15" s="10" t="str">
        <f t="shared" si="14"/>
        <v>LastModifiedUserId=null</v>
      </c>
      <c r="X15" s="9" t="str">
        <f t="shared" ca="1" si="15"/>
        <v>Id=13,Title="اسلواکی",ParentId=null,Guid=Guid.Parse("23AFDA54-E86A-4D4A-9F59-5C572CF72245"),CreatedDate=new DateTime (2026,3,25,4,26,24),CreatedUserId=null,Description= "Created by seeding data",IsActive=true,IsDeleted=false,LastModifiedDate=null,LastModifiedUserId=null</v>
      </c>
      <c r="Y15" s="9" t="str">
        <f t="shared" ca="1" si="16"/>
        <v>new State{Id=13,Title="اسلواکی",ParentId=null,Guid=Guid.Parse("23AFDA54-E86A-4D4A-9F59-5C572CF72245"),CreatedDate=new DateTime (2026,3,25,4,26,24),CreatedUserId=null,Description= "Created by seeding data",IsActive=true,IsDeleted=false,LastModifiedDate=null,LastModifiedUserId=null},</v>
      </c>
    </row>
    <row r="16" spans="1:25" x14ac:dyDescent="0.5">
      <c r="A16" s="1" t="str">
        <f t="shared" si="0"/>
        <v>14,</v>
      </c>
      <c r="B16" s="1" t="s">
        <v>25</v>
      </c>
      <c r="C16" s="1" t="str">
        <f t="shared" si="1"/>
        <v>null,</v>
      </c>
      <c r="D16" s="1" t="s">
        <v>221</v>
      </c>
      <c r="E16" s="1" t="str">
        <f t="shared" ca="1" si="2"/>
        <v>new DateTime (2026,3,25,4,26,24),</v>
      </c>
      <c r="F16" s="1" t="str">
        <f t="shared" si="3"/>
        <v>null,</v>
      </c>
      <c r="G16" s="1" t="s">
        <v>207</v>
      </c>
      <c r="H16" s="1" t="str">
        <f t="shared" si="4"/>
        <v>true,</v>
      </c>
      <c r="I16" s="1" t="str">
        <f t="shared" si="5"/>
        <v>false,</v>
      </c>
      <c r="J16" s="1" t="str">
        <f t="shared" si="6"/>
        <v>null,</v>
      </c>
      <c r="K16" s="1" t="str">
        <f t="shared" si="7"/>
        <v>null</v>
      </c>
      <c r="L16" s="6"/>
      <c r="M16" s="10" t="str">
        <f>_xlfn.TEXTJOIN("=",FALSE,A$2,A16)</f>
        <v>Id=14,</v>
      </c>
      <c r="N16" s="10" t="str">
        <f>_xlfn.TEXTJOIN("=",FALSE,B$2,B16)</f>
        <v>Title="اسلوونی",</v>
      </c>
      <c r="O16" s="10" t="str">
        <f>_xlfn.TEXTJOIN("=",FALSE,C$2,C16)</f>
        <v>ParentId=null,</v>
      </c>
      <c r="P16" s="10" t="str">
        <f>_xlfn.TEXTJOIN("=",FALSE,D$2,D16)</f>
        <v>Guid=Guid.Parse("A4A77F00-05EE-47DD-AEF7-2D3497E973AE"),</v>
      </c>
      <c r="Q16" s="10" t="str">
        <f t="shared" ca="1" si="8"/>
        <v>CreatedDate=new DateTime (2026,3,25,4,26,24),</v>
      </c>
      <c r="R16" s="10" t="str">
        <f t="shared" si="9"/>
        <v>CreatedUserId=null,</v>
      </c>
      <c r="S16" s="10" t="str">
        <f t="shared" si="10"/>
        <v>Description= "Created by seeding data",</v>
      </c>
      <c r="T16" s="10" t="str">
        <f t="shared" si="11"/>
        <v>IsActive=true,</v>
      </c>
      <c r="U16" s="10" t="str">
        <f t="shared" si="12"/>
        <v>IsDeleted=false,</v>
      </c>
      <c r="V16" s="10" t="str">
        <f t="shared" si="13"/>
        <v>LastModifiedDate=null,</v>
      </c>
      <c r="W16" s="10" t="str">
        <f t="shared" si="14"/>
        <v>LastModifiedUserId=null</v>
      </c>
      <c r="X16" s="9" t="str">
        <f t="shared" ca="1" si="15"/>
        <v>Id=14,Title="اسلوونی",ParentId=null,Guid=Guid.Parse("A4A77F00-05EE-47DD-AEF7-2D3497E973AE"),CreatedDate=new DateTime (2026,3,25,4,26,24),CreatedUserId=null,Description= "Created by seeding data",IsActive=true,IsDeleted=false,LastModifiedDate=null,LastModifiedUserId=null</v>
      </c>
      <c r="Y16" s="9" t="str">
        <f t="shared" ca="1" si="16"/>
        <v>new State{Id=14,Title="اسلوونی",ParentId=null,Guid=Guid.Parse("A4A77F00-05EE-47DD-AEF7-2D3497E973AE"),CreatedDate=new DateTime (2026,3,25,4,26,24),CreatedUserId=null,Description= "Created by seeding data",IsActive=true,IsDeleted=false,LastModifiedDate=null,LastModifiedUserId=null},</v>
      </c>
    </row>
    <row r="17" spans="1:25" x14ac:dyDescent="0.5">
      <c r="A17" s="1" t="str">
        <f t="shared" si="0"/>
        <v>15,</v>
      </c>
      <c r="B17" s="1" t="s">
        <v>26</v>
      </c>
      <c r="C17" s="1" t="str">
        <f t="shared" si="1"/>
        <v>null,</v>
      </c>
      <c r="D17" s="1" t="s">
        <v>222</v>
      </c>
      <c r="E17" s="1" t="str">
        <f t="shared" ca="1" si="2"/>
        <v>new DateTime (2026,3,25,4,26,24),</v>
      </c>
      <c r="F17" s="1" t="str">
        <f t="shared" si="3"/>
        <v>null,</v>
      </c>
      <c r="G17" s="1" t="s">
        <v>207</v>
      </c>
      <c r="H17" s="1" t="str">
        <f t="shared" si="4"/>
        <v>true,</v>
      </c>
      <c r="I17" s="1" t="str">
        <f t="shared" si="5"/>
        <v>false,</v>
      </c>
      <c r="J17" s="1" t="str">
        <f t="shared" si="6"/>
        <v>null,</v>
      </c>
      <c r="K17" s="1" t="str">
        <f t="shared" si="7"/>
        <v>null</v>
      </c>
      <c r="L17" s="6"/>
      <c r="M17" s="10" t="str">
        <f>_xlfn.TEXTJOIN("=",FALSE,A$2,A17)</f>
        <v>Id=15,</v>
      </c>
      <c r="N17" s="10" t="str">
        <f>_xlfn.TEXTJOIN("=",FALSE,B$2,B17)</f>
        <v>Title="اسواتینی",</v>
      </c>
      <c r="O17" s="10" t="str">
        <f>_xlfn.TEXTJOIN("=",FALSE,C$2,C17)</f>
        <v>ParentId=null,</v>
      </c>
      <c r="P17" s="10" t="str">
        <f>_xlfn.TEXTJOIN("=",FALSE,D$2,D17)</f>
        <v>Guid=Guid.Parse("F8D3CF33-78CE-4900-B672-75320B4B5D9C"),</v>
      </c>
      <c r="Q17" s="10" t="str">
        <f t="shared" ca="1" si="8"/>
        <v>CreatedDate=new DateTime (2026,3,25,4,26,24),</v>
      </c>
      <c r="R17" s="10" t="str">
        <f t="shared" si="9"/>
        <v>CreatedUserId=null,</v>
      </c>
      <c r="S17" s="10" t="str">
        <f t="shared" si="10"/>
        <v>Description= "Created by seeding data",</v>
      </c>
      <c r="T17" s="10" t="str">
        <f t="shared" si="11"/>
        <v>IsActive=true,</v>
      </c>
      <c r="U17" s="10" t="str">
        <f t="shared" si="12"/>
        <v>IsDeleted=false,</v>
      </c>
      <c r="V17" s="10" t="str">
        <f t="shared" si="13"/>
        <v>LastModifiedDate=null,</v>
      </c>
      <c r="W17" s="10" t="str">
        <f t="shared" si="14"/>
        <v>LastModifiedUserId=null</v>
      </c>
      <c r="X17" s="9" t="str">
        <f t="shared" ca="1" si="15"/>
        <v>Id=15,Title="اسواتینی",ParentId=null,Guid=Guid.Parse("F8D3CF33-78CE-4900-B672-75320B4B5D9C"),CreatedDate=new DateTime (2026,3,25,4,26,24),CreatedUserId=null,Description= "Created by seeding data",IsActive=true,IsDeleted=false,LastModifiedDate=null,LastModifiedUserId=null</v>
      </c>
      <c r="Y17" s="9" t="str">
        <f t="shared" ca="1" si="16"/>
        <v>new State{Id=15,Title="اسواتینی",ParentId=null,Guid=Guid.Parse("F8D3CF33-78CE-4900-B672-75320B4B5D9C"),CreatedDate=new DateTime (2026,3,25,4,26,24),CreatedUserId=null,Description= "Created by seeding data",IsActive=true,IsDeleted=false,LastModifiedDate=null,LastModifiedUserId=null},</v>
      </c>
    </row>
    <row r="18" spans="1:25" x14ac:dyDescent="0.5">
      <c r="A18" s="1" t="str">
        <f t="shared" si="0"/>
        <v>16,</v>
      </c>
      <c r="B18" s="1" t="s">
        <v>27</v>
      </c>
      <c r="C18" s="1" t="str">
        <f t="shared" si="1"/>
        <v>null,</v>
      </c>
      <c r="D18" s="1" t="s">
        <v>223</v>
      </c>
      <c r="E18" s="1" t="str">
        <f t="shared" ca="1" si="2"/>
        <v>new DateTime (2026,3,25,4,26,24),</v>
      </c>
      <c r="F18" s="1" t="str">
        <f t="shared" si="3"/>
        <v>null,</v>
      </c>
      <c r="G18" s="1" t="s">
        <v>207</v>
      </c>
      <c r="H18" s="1" t="str">
        <f t="shared" si="4"/>
        <v>true,</v>
      </c>
      <c r="I18" s="1" t="str">
        <f t="shared" si="5"/>
        <v>false,</v>
      </c>
      <c r="J18" s="1" t="str">
        <f t="shared" si="6"/>
        <v>null,</v>
      </c>
      <c r="K18" s="1" t="str">
        <f t="shared" si="7"/>
        <v>null</v>
      </c>
      <c r="L18" s="6"/>
      <c r="M18" s="10" t="str">
        <f>_xlfn.TEXTJOIN("=",FALSE,A$2,A18)</f>
        <v>Id=16,</v>
      </c>
      <c r="N18" s="10" t="str">
        <f>_xlfn.TEXTJOIN("=",FALSE,B$2,B18)</f>
        <v>Title="افغانستان",</v>
      </c>
      <c r="O18" s="10" t="str">
        <f>_xlfn.TEXTJOIN("=",FALSE,C$2,C18)</f>
        <v>ParentId=null,</v>
      </c>
      <c r="P18" s="10" t="str">
        <f>_xlfn.TEXTJOIN("=",FALSE,D$2,D18)</f>
        <v>Guid=Guid.Parse("EE5198A1-AD54-40E4-9680-30F25EF9ABB2"),</v>
      </c>
      <c r="Q18" s="10" t="str">
        <f t="shared" ca="1" si="8"/>
        <v>CreatedDate=new DateTime (2026,3,25,4,26,24),</v>
      </c>
      <c r="R18" s="10" t="str">
        <f t="shared" si="9"/>
        <v>CreatedUserId=null,</v>
      </c>
      <c r="S18" s="10" t="str">
        <f t="shared" si="10"/>
        <v>Description= "Created by seeding data",</v>
      </c>
      <c r="T18" s="10" t="str">
        <f t="shared" si="11"/>
        <v>IsActive=true,</v>
      </c>
      <c r="U18" s="10" t="str">
        <f t="shared" si="12"/>
        <v>IsDeleted=false,</v>
      </c>
      <c r="V18" s="10" t="str">
        <f t="shared" si="13"/>
        <v>LastModifiedDate=null,</v>
      </c>
      <c r="W18" s="10" t="str">
        <f t="shared" si="14"/>
        <v>LastModifiedUserId=null</v>
      </c>
      <c r="X18" s="9" t="str">
        <f t="shared" ca="1" si="15"/>
        <v>Id=16,Title="افغانستان",ParentId=null,Guid=Guid.Parse("EE5198A1-AD54-40E4-9680-30F25EF9ABB2"),CreatedDate=new DateTime (2026,3,25,4,26,24),CreatedUserId=null,Description= "Created by seeding data",IsActive=true,IsDeleted=false,LastModifiedDate=null,LastModifiedUserId=null</v>
      </c>
      <c r="Y18" s="9" t="str">
        <f t="shared" ca="1" si="16"/>
        <v>new State{Id=16,Title="افغانستان",ParentId=null,Guid=Guid.Parse("EE5198A1-AD54-40E4-9680-30F25EF9ABB2"),CreatedDate=new DateTime (2026,3,25,4,26,24),CreatedUserId=null,Description= "Created by seeding data",IsActive=true,IsDeleted=false,LastModifiedDate=null,LastModifiedUserId=null},</v>
      </c>
    </row>
    <row r="19" spans="1:25" x14ac:dyDescent="0.5">
      <c r="A19" s="1" t="str">
        <f t="shared" si="0"/>
        <v>17,</v>
      </c>
      <c r="B19" s="1" t="s">
        <v>28</v>
      </c>
      <c r="C19" s="1" t="str">
        <f t="shared" si="1"/>
        <v>null,</v>
      </c>
      <c r="D19" s="1" t="s">
        <v>224</v>
      </c>
      <c r="E19" s="1" t="str">
        <f t="shared" ca="1" si="2"/>
        <v>new DateTime (2026,3,25,4,26,24),</v>
      </c>
      <c r="F19" s="1" t="str">
        <f t="shared" si="3"/>
        <v>null,</v>
      </c>
      <c r="G19" s="1" t="s">
        <v>207</v>
      </c>
      <c r="H19" s="1" t="str">
        <f t="shared" si="4"/>
        <v>true,</v>
      </c>
      <c r="I19" s="1" t="str">
        <f t="shared" si="5"/>
        <v>false,</v>
      </c>
      <c r="J19" s="1" t="str">
        <f t="shared" si="6"/>
        <v>null,</v>
      </c>
      <c r="K19" s="1" t="str">
        <f t="shared" si="7"/>
        <v>null</v>
      </c>
      <c r="L19" s="6"/>
      <c r="M19" s="10" t="str">
        <f>_xlfn.TEXTJOIN("=",FALSE,A$2,A19)</f>
        <v>Id=17,</v>
      </c>
      <c r="N19" s="10" t="str">
        <f>_xlfn.TEXTJOIN("=",FALSE,B$2,B19)</f>
        <v>Title="اکوادور",</v>
      </c>
      <c r="O19" s="10" t="str">
        <f>_xlfn.TEXTJOIN("=",FALSE,C$2,C19)</f>
        <v>ParentId=null,</v>
      </c>
      <c r="P19" s="10" t="str">
        <f>_xlfn.TEXTJOIN("=",FALSE,D$2,D19)</f>
        <v>Guid=Guid.Parse("C3E7C672-BCF4-48B3-9C1B-5BF5A598C929"),</v>
      </c>
      <c r="Q19" s="10" t="str">
        <f t="shared" ca="1" si="8"/>
        <v>CreatedDate=new DateTime (2026,3,25,4,26,24),</v>
      </c>
      <c r="R19" s="10" t="str">
        <f t="shared" si="9"/>
        <v>CreatedUserId=null,</v>
      </c>
      <c r="S19" s="10" t="str">
        <f t="shared" si="10"/>
        <v>Description= "Created by seeding data",</v>
      </c>
      <c r="T19" s="10" t="str">
        <f t="shared" si="11"/>
        <v>IsActive=true,</v>
      </c>
      <c r="U19" s="10" t="str">
        <f t="shared" si="12"/>
        <v>IsDeleted=false,</v>
      </c>
      <c r="V19" s="10" t="str">
        <f t="shared" si="13"/>
        <v>LastModifiedDate=null,</v>
      </c>
      <c r="W19" s="10" t="str">
        <f t="shared" si="14"/>
        <v>LastModifiedUserId=null</v>
      </c>
      <c r="X19" s="9" t="str">
        <f t="shared" ca="1" si="15"/>
        <v>Id=17,Title="اکوادور",ParentId=null,Guid=Guid.Parse("C3E7C672-BCF4-48B3-9C1B-5BF5A598C929"),CreatedDate=new DateTime (2026,3,25,4,26,24),CreatedUserId=null,Description= "Created by seeding data",IsActive=true,IsDeleted=false,LastModifiedDate=null,LastModifiedUserId=null</v>
      </c>
      <c r="Y19" s="9" t="str">
        <f t="shared" ca="1" si="16"/>
        <v>new State{Id=17,Title="اکوادور",ParentId=null,Guid=Guid.Parse("C3E7C672-BCF4-48B3-9C1B-5BF5A598C929"),CreatedDate=new DateTime (2026,3,25,4,26,24),CreatedUserId=null,Description= "Created by seeding data",IsActive=true,IsDeleted=false,LastModifiedDate=null,LastModifiedUserId=null},</v>
      </c>
    </row>
    <row r="20" spans="1:25" x14ac:dyDescent="0.5">
      <c r="A20" s="1" t="str">
        <f t="shared" si="0"/>
        <v>18,</v>
      </c>
      <c r="B20" s="1" t="s">
        <v>29</v>
      </c>
      <c r="C20" s="1" t="str">
        <f t="shared" si="1"/>
        <v>null,</v>
      </c>
      <c r="D20" s="1" t="s">
        <v>225</v>
      </c>
      <c r="E20" s="1" t="str">
        <f t="shared" ca="1" si="2"/>
        <v>new DateTime (2026,3,25,4,26,24),</v>
      </c>
      <c r="F20" s="1" t="str">
        <f t="shared" si="3"/>
        <v>null,</v>
      </c>
      <c r="G20" s="1" t="s">
        <v>207</v>
      </c>
      <c r="H20" s="1" t="str">
        <f t="shared" si="4"/>
        <v>true,</v>
      </c>
      <c r="I20" s="1" t="str">
        <f t="shared" si="5"/>
        <v>false,</v>
      </c>
      <c r="J20" s="1" t="str">
        <f t="shared" si="6"/>
        <v>null,</v>
      </c>
      <c r="K20" s="1" t="str">
        <f t="shared" si="7"/>
        <v>null</v>
      </c>
      <c r="L20" s="6"/>
      <c r="M20" s="10" t="str">
        <f>_xlfn.TEXTJOIN("=",FALSE,A$2,A20)</f>
        <v>Id=18,</v>
      </c>
      <c r="N20" s="10" t="str">
        <f>_xlfn.TEXTJOIN("=",FALSE,B$2,B20)</f>
        <v>Title="الجزایر",</v>
      </c>
      <c r="O20" s="10" t="str">
        <f>_xlfn.TEXTJOIN("=",FALSE,C$2,C20)</f>
        <v>ParentId=null,</v>
      </c>
      <c r="P20" s="10" t="str">
        <f>_xlfn.TEXTJOIN("=",FALSE,D$2,D20)</f>
        <v>Guid=Guid.Parse("37C27644-5427-4AF7-B728-D860082A366F"),</v>
      </c>
      <c r="Q20" s="10" t="str">
        <f t="shared" ca="1" si="8"/>
        <v>CreatedDate=new DateTime (2026,3,25,4,26,24),</v>
      </c>
      <c r="R20" s="10" t="str">
        <f t="shared" si="9"/>
        <v>CreatedUserId=null,</v>
      </c>
      <c r="S20" s="10" t="str">
        <f t="shared" si="10"/>
        <v>Description= "Created by seeding data",</v>
      </c>
      <c r="T20" s="10" t="str">
        <f t="shared" si="11"/>
        <v>IsActive=true,</v>
      </c>
      <c r="U20" s="10" t="str">
        <f t="shared" si="12"/>
        <v>IsDeleted=false,</v>
      </c>
      <c r="V20" s="10" t="str">
        <f t="shared" si="13"/>
        <v>LastModifiedDate=null,</v>
      </c>
      <c r="W20" s="10" t="str">
        <f t="shared" si="14"/>
        <v>LastModifiedUserId=null</v>
      </c>
      <c r="X20" s="9" t="str">
        <f t="shared" ca="1" si="15"/>
        <v>Id=18,Title="الجزایر",ParentId=null,Guid=Guid.Parse("37C27644-5427-4AF7-B728-D860082A366F"),CreatedDate=new DateTime (2026,3,25,4,26,24),CreatedUserId=null,Description= "Created by seeding data",IsActive=true,IsDeleted=false,LastModifiedDate=null,LastModifiedUserId=null</v>
      </c>
      <c r="Y20" s="9" t="str">
        <f t="shared" ca="1" si="16"/>
        <v>new State{Id=18,Title="الجزایر",ParentId=null,Guid=Guid.Parse("37C27644-5427-4AF7-B728-D860082A366F"),CreatedDate=new DateTime (2026,3,25,4,26,24),CreatedUserId=null,Description= "Created by seeding data",IsActive=true,IsDeleted=false,LastModifiedDate=null,LastModifiedUserId=null},</v>
      </c>
    </row>
    <row r="21" spans="1:25" x14ac:dyDescent="0.5">
      <c r="A21" s="1" t="str">
        <f t="shared" si="0"/>
        <v>19,</v>
      </c>
      <c r="B21" s="1" t="s">
        <v>30</v>
      </c>
      <c r="C21" s="1" t="str">
        <f t="shared" si="1"/>
        <v>null,</v>
      </c>
      <c r="D21" s="1" t="s">
        <v>226</v>
      </c>
      <c r="E21" s="1" t="str">
        <f t="shared" ca="1" si="2"/>
        <v>new DateTime (2026,3,25,4,26,24),</v>
      </c>
      <c r="F21" s="1" t="str">
        <f t="shared" si="3"/>
        <v>null,</v>
      </c>
      <c r="G21" s="1" t="s">
        <v>207</v>
      </c>
      <c r="H21" s="1" t="str">
        <f t="shared" si="4"/>
        <v>true,</v>
      </c>
      <c r="I21" s="1" t="str">
        <f t="shared" si="5"/>
        <v>false,</v>
      </c>
      <c r="J21" s="1" t="str">
        <f t="shared" si="6"/>
        <v>null,</v>
      </c>
      <c r="K21" s="1" t="str">
        <f t="shared" si="7"/>
        <v>null</v>
      </c>
      <c r="L21" s="6"/>
      <c r="M21" s="10" t="str">
        <f>_xlfn.TEXTJOIN("=",FALSE,A$2,A21)</f>
        <v>Id=19,</v>
      </c>
      <c r="N21" s="10" t="str">
        <f>_xlfn.TEXTJOIN("=",FALSE,B$2,B21)</f>
        <v>Title="السالوادور",</v>
      </c>
      <c r="O21" s="10" t="str">
        <f>_xlfn.TEXTJOIN("=",FALSE,C$2,C21)</f>
        <v>ParentId=null,</v>
      </c>
      <c r="P21" s="10" t="str">
        <f>_xlfn.TEXTJOIN("=",FALSE,D$2,D21)</f>
        <v>Guid=Guid.Parse("A26C68F8-A25B-46C5-9D3B-E9855DF2285A"),</v>
      </c>
      <c r="Q21" s="10" t="str">
        <f t="shared" ca="1" si="8"/>
        <v>CreatedDate=new DateTime (2026,3,25,4,26,24),</v>
      </c>
      <c r="R21" s="10" t="str">
        <f t="shared" si="9"/>
        <v>CreatedUserId=null,</v>
      </c>
      <c r="S21" s="10" t="str">
        <f t="shared" si="10"/>
        <v>Description= "Created by seeding data",</v>
      </c>
      <c r="T21" s="10" t="str">
        <f t="shared" si="11"/>
        <v>IsActive=true,</v>
      </c>
      <c r="U21" s="10" t="str">
        <f t="shared" si="12"/>
        <v>IsDeleted=false,</v>
      </c>
      <c r="V21" s="10" t="str">
        <f t="shared" si="13"/>
        <v>LastModifiedDate=null,</v>
      </c>
      <c r="W21" s="10" t="str">
        <f t="shared" si="14"/>
        <v>LastModifiedUserId=null</v>
      </c>
      <c r="X21" s="9" t="str">
        <f t="shared" ca="1" si="15"/>
        <v>Id=19,Title="السالوادور",ParentId=null,Guid=Guid.Parse("A26C68F8-A25B-46C5-9D3B-E9855DF2285A"),CreatedDate=new DateTime (2026,3,25,4,26,24),CreatedUserId=null,Description= "Created by seeding data",IsActive=true,IsDeleted=false,LastModifiedDate=null,LastModifiedUserId=null</v>
      </c>
      <c r="Y21" s="9" t="str">
        <f t="shared" ca="1" si="16"/>
        <v>new State{Id=19,Title="السالوادور",ParentId=null,Guid=Guid.Parse("A26C68F8-A25B-46C5-9D3B-E9855DF2285A"),CreatedDate=new DateTime (2026,3,25,4,26,24),CreatedUserId=null,Description= "Created by seeding data",IsActive=true,IsDeleted=false,LastModifiedDate=null,LastModifiedUserId=null},</v>
      </c>
    </row>
    <row r="22" spans="1:25" x14ac:dyDescent="0.5">
      <c r="A22" s="1" t="str">
        <f t="shared" si="0"/>
        <v>20,</v>
      </c>
      <c r="B22" s="1" t="s">
        <v>31</v>
      </c>
      <c r="C22" s="1" t="str">
        <f t="shared" si="1"/>
        <v>null,</v>
      </c>
      <c r="D22" s="1" t="s">
        <v>227</v>
      </c>
      <c r="E22" s="1" t="str">
        <f t="shared" ca="1" si="2"/>
        <v>new DateTime (2026,3,25,4,26,24),</v>
      </c>
      <c r="F22" s="1" t="str">
        <f t="shared" si="3"/>
        <v>null,</v>
      </c>
      <c r="G22" s="1" t="s">
        <v>207</v>
      </c>
      <c r="H22" s="1" t="str">
        <f t="shared" si="4"/>
        <v>true,</v>
      </c>
      <c r="I22" s="1" t="str">
        <f t="shared" si="5"/>
        <v>false,</v>
      </c>
      <c r="J22" s="1" t="str">
        <f t="shared" si="6"/>
        <v>null,</v>
      </c>
      <c r="K22" s="1" t="str">
        <f t="shared" si="7"/>
        <v>null</v>
      </c>
      <c r="L22" s="6"/>
      <c r="M22" s="10" t="str">
        <f>_xlfn.TEXTJOIN("=",FALSE,A$2,A22)</f>
        <v>Id=20,</v>
      </c>
      <c r="N22" s="10" t="str">
        <f>_xlfn.TEXTJOIN("=",FALSE,B$2,B22)</f>
        <v>Title="امارات متحده عربی",</v>
      </c>
      <c r="O22" s="10" t="str">
        <f>_xlfn.TEXTJOIN("=",FALSE,C$2,C22)</f>
        <v>ParentId=null,</v>
      </c>
      <c r="P22" s="10" t="str">
        <f>_xlfn.TEXTJOIN("=",FALSE,D$2,D22)</f>
        <v>Guid=Guid.Parse("18A49860-1390-495C-A2C4-39CC53417F9D"),</v>
      </c>
      <c r="Q22" s="10" t="str">
        <f t="shared" ca="1" si="8"/>
        <v>CreatedDate=new DateTime (2026,3,25,4,26,24),</v>
      </c>
      <c r="R22" s="10" t="str">
        <f t="shared" si="9"/>
        <v>CreatedUserId=null,</v>
      </c>
      <c r="S22" s="10" t="str">
        <f t="shared" si="10"/>
        <v>Description= "Created by seeding data",</v>
      </c>
      <c r="T22" s="10" t="str">
        <f t="shared" si="11"/>
        <v>IsActive=true,</v>
      </c>
      <c r="U22" s="10" t="str">
        <f t="shared" si="12"/>
        <v>IsDeleted=false,</v>
      </c>
      <c r="V22" s="10" t="str">
        <f t="shared" si="13"/>
        <v>LastModifiedDate=null,</v>
      </c>
      <c r="W22" s="10" t="str">
        <f t="shared" si="14"/>
        <v>LastModifiedUserId=null</v>
      </c>
      <c r="X22" s="9" t="str">
        <f t="shared" ca="1" si="15"/>
        <v>Id=20,Title="امارات متحده عربی",ParentId=null,Guid=Guid.Parse("18A49860-1390-495C-A2C4-39CC53417F9D"),CreatedDate=new DateTime (2026,3,25,4,26,24),CreatedUserId=null,Description= "Created by seeding data",IsActive=true,IsDeleted=false,LastModifiedDate=null,LastModifiedUserId=null</v>
      </c>
      <c r="Y22" s="9" t="str">
        <f t="shared" ca="1" si="16"/>
        <v>new State{Id=20,Title="امارات متحده عربی",ParentId=null,Guid=Guid.Parse("18A49860-1390-495C-A2C4-39CC53417F9D"),CreatedDate=new DateTime (2026,3,25,4,26,24),CreatedUserId=null,Description= "Created by seeding data",IsActive=true,IsDeleted=false,LastModifiedDate=null,LastModifiedUserId=null},</v>
      </c>
    </row>
    <row r="23" spans="1:25" x14ac:dyDescent="0.5">
      <c r="A23" s="1" t="str">
        <f t="shared" si="0"/>
        <v>21,</v>
      </c>
      <c r="B23" s="1" t="s">
        <v>32</v>
      </c>
      <c r="C23" s="1" t="str">
        <f t="shared" si="1"/>
        <v>null,</v>
      </c>
      <c r="D23" s="1" t="s">
        <v>228</v>
      </c>
      <c r="E23" s="1" t="str">
        <f t="shared" ca="1" si="2"/>
        <v>new DateTime (2026,3,25,4,26,24),</v>
      </c>
      <c r="F23" s="1" t="str">
        <f t="shared" si="3"/>
        <v>null,</v>
      </c>
      <c r="G23" s="1" t="s">
        <v>207</v>
      </c>
      <c r="H23" s="1" t="str">
        <f t="shared" si="4"/>
        <v>true,</v>
      </c>
      <c r="I23" s="1" t="str">
        <f t="shared" si="5"/>
        <v>false,</v>
      </c>
      <c r="J23" s="1" t="str">
        <f t="shared" si="6"/>
        <v>null,</v>
      </c>
      <c r="K23" s="1" t="str">
        <f t="shared" si="7"/>
        <v>null</v>
      </c>
      <c r="L23" s="6"/>
      <c r="M23" s="10" t="str">
        <f>_xlfn.TEXTJOIN("=",FALSE,A$2,A23)</f>
        <v>Id=21,</v>
      </c>
      <c r="N23" s="10" t="str">
        <f>_xlfn.TEXTJOIN("=",FALSE,B$2,B23)</f>
        <v>Title="اندونزی",</v>
      </c>
      <c r="O23" s="10" t="str">
        <f>_xlfn.TEXTJOIN("=",FALSE,C$2,C23)</f>
        <v>ParentId=null,</v>
      </c>
      <c r="P23" s="10" t="str">
        <f>_xlfn.TEXTJOIN("=",FALSE,D$2,D23)</f>
        <v>Guid=Guid.Parse("D31CF596-A955-403F-B7CA-0EC7DE30634E"),</v>
      </c>
      <c r="Q23" s="10" t="str">
        <f t="shared" ca="1" si="8"/>
        <v>CreatedDate=new DateTime (2026,3,25,4,26,24),</v>
      </c>
      <c r="R23" s="10" t="str">
        <f t="shared" si="9"/>
        <v>CreatedUserId=null,</v>
      </c>
      <c r="S23" s="10" t="str">
        <f t="shared" si="10"/>
        <v>Description= "Created by seeding data",</v>
      </c>
      <c r="T23" s="10" t="str">
        <f t="shared" si="11"/>
        <v>IsActive=true,</v>
      </c>
      <c r="U23" s="10" t="str">
        <f t="shared" si="12"/>
        <v>IsDeleted=false,</v>
      </c>
      <c r="V23" s="10" t="str">
        <f t="shared" si="13"/>
        <v>LastModifiedDate=null,</v>
      </c>
      <c r="W23" s="10" t="str">
        <f t="shared" si="14"/>
        <v>LastModifiedUserId=null</v>
      </c>
      <c r="X23" s="9" t="str">
        <f t="shared" ca="1" si="15"/>
        <v>Id=21,Title="اندونزی",ParentId=null,Guid=Guid.Parse("D31CF596-A955-403F-B7CA-0EC7DE30634E"),CreatedDate=new DateTime (2026,3,25,4,26,24),CreatedUserId=null,Description= "Created by seeding data",IsActive=true,IsDeleted=false,LastModifiedDate=null,LastModifiedUserId=null</v>
      </c>
      <c r="Y23" s="9" t="str">
        <f t="shared" ca="1" si="16"/>
        <v>new State{Id=21,Title="اندونزی",ParentId=null,Guid=Guid.Parse("D31CF596-A955-403F-B7CA-0EC7DE30634E"),CreatedDate=new DateTime (2026,3,25,4,26,24),CreatedUserId=null,Description= "Created by seeding data",IsActive=true,IsDeleted=false,LastModifiedDate=null,LastModifiedUserId=null},</v>
      </c>
    </row>
    <row r="24" spans="1:25" x14ac:dyDescent="0.5">
      <c r="A24" s="1" t="str">
        <f t="shared" si="0"/>
        <v>22,</v>
      </c>
      <c r="B24" s="1" t="s">
        <v>33</v>
      </c>
      <c r="C24" s="1" t="str">
        <f t="shared" si="1"/>
        <v>null,</v>
      </c>
      <c r="D24" s="1" t="s">
        <v>229</v>
      </c>
      <c r="E24" s="1" t="str">
        <f t="shared" ca="1" si="2"/>
        <v>new DateTime (2026,3,25,4,26,24),</v>
      </c>
      <c r="F24" s="1" t="str">
        <f t="shared" si="3"/>
        <v>null,</v>
      </c>
      <c r="G24" s="1" t="s">
        <v>207</v>
      </c>
      <c r="H24" s="1" t="str">
        <f t="shared" si="4"/>
        <v>true,</v>
      </c>
      <c r="I24" s="1" t="str">
        <f t="shared" si="5"/>
        <v>false,</v>
      </c>
      <c r="J24" s="1" t="str">
        <f t="shared" si="6"/>
        <v>null,</v>
      </c>
      <c r="K24" s="1" t="str">
        <f t="shared" si="7"/>
        <v>null</v>
      </c>
      <c r="L24" s="6"/>
      <c r="M24" s="10" t="str">
        <f>_xlfn.TEXTJOIN("=",FALSE,A$2,A24)</f>
        <v>Id=22,</v>
      </c>
      <c r="N24" s="10" t="str">
        <f>_xlfn.TEXTJOIN("=",FALSE,B$2,B24)</f>
        <v>Title="اوکراین",</v>
      </c>
      <c r="O24" s="10" t="str">
        <f>_xlfn.TEXTJOIN("=",FALSE,C$2,C24)</f>
        <v>ParentId=null,</v>
      </c>
      <c r="P24" s="10" t="str">
        <f>_xlfn.TEXTJOIN("=",FALSE,D$2,D24)</f>
        <v>Guid=Guid.Parse("8A754871-A975-4A16-95E2-0CAECF02D0B8"),</v>
      </c>
      <c r="Q24" s="10" t="str">
        <f t="shared" ca="1" si="8"/>
        <v>CreatedDate=new DateTime (2026,3,25,4,26,24),</v>
      </c>
      <c r="R24" s="10" t="str">
        <f t="shared" si="9"/>
        <v>CreatedUserId=null,</v>
      </c>
      <c r="S24" s="10" t="str">
        <f t="shared" si="10"/>
        <v>Description= "Created by seeding data",</v>
      </c>
      <c r="T24" s="10" t="str">
        <f t="shared" si="11"/>
        <v>IsActive=true,</v>
      </c>
      <c r="U24" s="10" t="str">
        <f t="shared" si="12"/>
        <v>IsDeleted=false,</v>
      </c>
      <c r="V24" s="10" t="str">
        <f t="shared" si="13"/>
        <v>LastModifiedDate=null,</v>
      </c>
      <c r="W24" s="10" t="str">
        <f t="shared" si="14"/>
        <v>LastModifiedUserId=null</v>
      </c>
      <c r="X24" s="9" t="str">
        <f t="shared" ca="1" si="15"/>
        <v>Id=22,Title="اوکراین",ParentId=null,Guid=Guid.Parse("8A754871-A975-4A16-95E2-0CAECF02D0B8"),CreatedDate=new DateTime (2026,3,25,4,26,24),CreatedUserId=null,Description= "Created by seeding data",IsActive=true,IsDeleted=false,LastModifiedDate=null,LastModifiedUserId=null</v>
      </c>
      <c r="Y24" s="9" t="str">
        <f t="shared" ca="1" si="16"/>
        <v>new State{Id=22,Title="اوکراین",ParentId=null,Guid=Guid.Parse("8A754871-A975-4A16-95E2-0CAECF02D0B8"),CreatedDate=new DateTime (2026,3,25,4,26,24),CreatedUserId=null,Description= "Created by seeding data",IsActive=true,IsDeleted=false,LastModifiedDate=null,LastModifiedUserId=null},</v>
      </c>
    </row>
    <row r="25" spans="1:25" x14ac:dyDescent="0.5">
      <c r="A25" s="1" t="str">
        <f t="shared" si="0"/>
        <v>23,</v>
      </c>
      <c r="B25" s="1" t="s">
        <v>34</v>
      </c>
      <c r="C25" s="1" t="str">
        <f t="shared" si="1"/>
        <v>null,</v>
      </c>
      <c r="D25" s="1" t="s">
        <v>230</v>
      </c>
      <c r="E25" s="1" t="str">
        <f t="shared" ca="1" si="2"/>
        <v>new DateTime (2026,3,25,4,26,24),</v>
      </c>
      <c r="F25" s="1" t="str">
        <f t="shared" si="3"/>
        <v>null,</v>
      </c>
      <c r="G25" s="1" t="s">
        <v>207</v>
      </c>
      <c r="H25" s="1" t="str">
        <f t="shared" si="4"/>
        <v>true,</v>
      </c>
      <c r="I25" s="1" t="str">
        <f t="shared" si="5"/>
        <v>false,</v>
      </c>
      <c r="J25" s="1" t="str">
        <f t="shared" si="6"/>
        <v>null,</v>
      </c>
      <c r="K25" s="1" t="str">
        <f t="shared" si="7"/>
        <v>null</v>
      </c>
      <c r="L25" s="6"/>
      <c r="M25" s="10" t="str">
        <f>_xlfn.TEXTJOIN("=",FALSE,A$2,A25)</f>
        <v>Id=23,</v>
      </c>
      <c r="N25" s="10" t="str">
        <f>_xlfn.TEXTJOIN("=",FALSE,B$2,B25)</f>
        <v>Title="اوگاندا",</v>
      </c>
      <c r="O25" s="10" t="str">
        <f>_xlfn.TEXTJOIN("=",FALSE,C$2,C25)</f>
        <v>ParentId=null,</v>
      </c>
      <c r="P25" s="10" t="str">
        <f>_xlfn.TEXTJOIN("=",FALSE,D$2,D25)</f>
        <v>Guid=Guid.Parse("6AF49F3C-AA47-46F6-9627-2250516D5CA0"),</v>
      </c>
      <c r="Q25" s="10" t="str">
        <f t="shared" ca="1" si="8"/>
        <v>CreatedDate=new DateTime (2026,3,25,4,26,24),</v>
      </c>
      <c r="R25" s="10" t="str">
        <f t="shared" si="9"/>
        <v>CreatedUserId=null,</v>
      </c>
      <c r="S25" s="10" t="str">
        <f t="shared" si="10"/>
        <v>Description= "Created by seeding data",</v>
      </c>
      <c r="T25" s="10" t="str">
        <f t="shared" si="11"/>
        <v>IsActive=true,</v>
      </c>
      <c r="U25" s="10" t="str">
        <f t="shared" si="12"/>
        <v>IsDeleted=false,</v>
      </c>
      <c r="V25" s="10" t="str">
        <f t="shared" si="13"/>
        <v>LastModifiedDate=null,</v>
      </c>
      <c r="W25" s="10" t="str">
        <f t="shared" si="14"/>
        <v>LastModifiedUserId=null</v>
      </c>
      <c r="X25" s="9" t="str">
        <f t="shared" ca="1" si="15"/>
        <v>Id=23,Title="اوگاندا",ParentId=null,Guid=Guid.Parse("6AF49F3C-AA47-46F6-9627-2250516D5CA0"),CreatedDate=new DateTime (2026,3,25,4,26,24),CreatedUserId=null,Description= "Created by seeding data",IsActive=true,IsDeleted=false,LastModifiedDate=null,LastModifiedUserId=null</v>
      </c>
      <c r="Y25" s="9" t="str">
        <f t="shared" ca="1" si="16"/>
        <v>new State{Id=23,Title="اوگاندا",ParentId=null,Guid=Guid.Parse("6AF49F3C-AA47-46F6-9627-2250516D5CA0"),CreatedDate=new DateTime (2026,3,25,4,26,24),CreatedUserId=null,Description= "Created by seeding data",IsActive=true,IsDeleted=false,LastModifiedDate=null,LastModifiedUserId=null},</v>
      </c>
    </row>
    <row r="26" spans="1:25" x14ac:dyDescent="0.5">
      <c r="A26" s="1" t="str">
        <f t="shared" si="0"/>
        <v>24,</v>
      </c>
      <c r="B26" s="1" t="s">
        <v>35</v>
      </c>
      <c r="C26" s="1" t="str">
        <f t="shared" si="1"/>
        <v>null,</v>
      </c>
      <c r="D26" s="1" t="s">
        <v>231</v>
      </c>
      <c r="E26" s="1" t="str">
        <f t="shared" ca="1" si="2"/>
        <v>new DateTime (2026,3,25,4,26,24),</v>
      </c>
      <c r="F26" s="1" t="str">
        <f t="shared" si="3"/>
        <v>null,</v>
      </c>
      <c r="G26" s="1" t="s">
        <v>207</v>
      </c>
      <c r="H26" s="1" t="str">
        <f t="shared" si="4"/>
        <v>true,</v>
      </c>
      <c r="I26" s="1" t="str">
        <f t="shared" si="5"/>
        <v>false,</v>
      </c>
      <c r="J26" s="1" t="str">
        <f t="shared" si="6"/>
        <v>null,</v>
      </c>
      <c r="K26" s="1" t="str">
        <f t="shared" si="7"/>
        <v>null</v>
      </c>
      <c r="L26" s="6"/>
      <c r="M26" s="10" t="str">
        <f>_xlfn.TEXTJOIN("=",FALSE,A$2,A26)</f>
        <v>Id=24,</v>
      </c>
      <c r="N26" s="10" t="str">
        <f>_xlfn.TEXTJOIN("=",FALSE,B$2,B26)</f>
        <v>Title="ایالات متحده آمریکا",</v>
      </c>
      <c r="O26" s="10" t="str">
        <f>_xlfn.TEXTJOIN("=",FALSE,C$2,C26)</f>
        <v>ParentId=null,</v>
      </c>
      <c r="P26" s="10" t="str">
        <f>_xlfn.TEXTJOIN("=",FALSE,D$2,D26)</f>
        <v>Guid=Guid.Parse("7945BEFD-8230-4F05-ADED-FC21B0E63B75"),</v>
      </c>
      <c r="Q26" s="10" t="str">
        <f t="shared" ca="1" si="8"/>
        <v>CreatedDate=new DateTime (2026,3,25,4,26,24),</v>
      </c>
      <c r="R26" s="10" t="str">
        <f t="shared" si="9"/>
        <v>CreatedUserId=null,</v>
      </c>
      <c r="S26" s="10" t="str">
        <f t="shared" si="10"/>
        <v>Description= "Created by seeding data",</v>
      </c>
      <c r="T26" s="10" t="str">
        <f t="shared" si="11"/>
        <v>IsActive=true,</v>
      </c>
      <c r="U26" s="10" t="str">
        <f t="shared" si="12"/>
        <v>IsDeleted=false,</v>
      </c>
      <c r="V26" s="10" t="str">
        <f t="shared" si="13"/>
        <v>LastModifiedDate=null,</v>
      </c>
      <c r="W26" s="10" t="str">
        <f t="shared" si="14"/>
        <v>LastModifiedUserId=null</v>
      </c>
      <c r="X26" s="9" t="str">
        <f t="shared" ca="1" si="15"/>
        <v>Id=24,Title="ایالات متحده آمریکا",ParentId=null,Guid=Guid.Parse("7945BEFD-8230-4F05-ADED-FC21B0E63B75"),CreatedDate=new DateTime (2026,3,25,4,26,24),CreatedUserId=null,Description= "Created by seeding data",IsActive=true,IsDeleted=false,LastModifiedDate=null,LastModifiedUserId=null</v>
      </c>
      <c r="Y26" s="9" t="str">
        <f t="shared" ca="1" si="16"/>
        <v>new State{Id=24,Title="ایالات متحده آمریکا",ParentId=null,Guid=Guid.Parse("7945BEFD-8230-4F05-ADED-FC21B0E63B75"),CreatedDate=new DateTime (2026,3,25,4,26,24),CreatedUserId=null,Description= "Created by seeding data",IsActive=true,IsDeleted=false,LastModifiedDate=null,LastModifiedUserId=null},</v>
      </c>
    </row>
    <row r="27" spans="1:25" x14ac:dyDescent="0.5">
      <c r="A27" s="1" t="str">
        <f t="shared" si="0"/>
        <v>25,</v>
      </c>
      <c r="B27" s="1" t="s">
        <v>36</v>
      </c>
      <c r="C27" s="1" t="str">
        <f t="shared" si="1"/>
        <v>null,</v>
      </c>
      <c r="D27" s="1" t="s">
        <v>232</v>
      </c>
      <c r="E27" s="1" t="str">
        <f t="shared" ca="1" si="2"/>
        <v>new DateTime (2026,3,25,4,26,24),</v>
      </c>
      <c r="F27" s="1" t="str">
        <f t="shared" si="3"/>
        <v>null,</v>
      </c>
      <c r="G27" s="1" t="s">
        <v>207</v>
      </c>
      <c r="H27" s="1" t="str">
        <f t="shared" si="4"/>
        <v>true,</v>
      </c>
      <c r="I27" s="1" t="str">
        <f t="shared" si="5"/>
        <v>false,</v>
      </c>
      <c r="J27" s="1" t="str">
        <f t="shared" si="6"/>
        <v>null,</v>
      </c>
      <c r="K27" s="1" t="str">
        <f t="shared" si="7"/>
        <v>null</v>
      </c>
      <c r="L27" s="6"/>
      <c r="M27" s="10" t="str">
        <f>_xlfn.TEXTJOIN("=",FALSE,A$2,A27)</f>
        <v>Id=25,</v>
      </c>
      <c r="N27" s="10" t="str">
        <f>_xlfn.TEXTJOIN("=",FALSE,B$2,B27)</f>
        <v>Title="ایتالیا",</v>
      </c>
      <c r="O27" s="10" t="str">
        <f>_xlfn.TEXTJOIN("=",FALSE,C$2,C27)</f>
        <v>ParentId=null,</v>
      </c>
      <c r="P27" s="10" t="str">
        <f>_xlfn.TEXTJOIN("=",FALSE,D$2,D27)</f>
        <v>Guid=Guid.Parse("03CF2AA2-8AEB-4060-A727-9C9A6C5F57A8"),</v>
      </c>
      <c r="Q27" s="10" t="str">
        <f t="shared" ca="1" si="8"/>
        <v>CreatedDate=new DateTime (2026,3,25,4,26,24),</v>
      </c>
      <c r="R27" s="10" t="str">
        <f t="shared" si="9"/>
        <v>CreatedUserId=null,</v>
      </c>
      <c r="S27" s="10" t="str">
        <f t="shared" si="10"/>
        <v>Description= "Created by seeding data",</v>
      </c>
      <c r="T27" s="10" t="str">
        <f t="shared" si="11"/>
        <v>IsActive=true,</v>
      </c>
      <c r="U27" s="10" t="str">
        <f t="shared" si="12"/>
        <v>IsDeleted=false,</v>
      </c>
      <c r="V27" s="10" t="str">
        <f t="shared" si="13"/>
        <v>LastModifiedDate=null,</v>
      </c>
      <c r="W27" s="10" t="str">
        <f t="shared" si="14"/>
        <v>LastModifiedUserId=null</v>
      </c>
      <c r="X27" s="9" t="str">
        <f t="shared" ca="1" si="15"/>
        <v>Id=25,Title="ایتالیا",ParentId=null,Guid=Guid.Parse("03CF2AA2-8AEB-4060-A727-9C9A6C5F57A8"),CreatedDate=new DateTime (2026,3,25,4,26,24),CreatedUserId=null,Description= "Created by seeding data",IsActive=true,IsDeleted=false,LastModifiedDate=null,LastModifiedUserId=null</v>
      </c>
      <c r="Y27" s="9" t="str">
        <f t="shared" ca="1" si="16"/>
        <v>new State{Id=25,Title="ایتالیا",ParentId=null,Guid=Guid.Parse("03CF2AA2-8AEB-4060-A727-9C9A6C5F57A8"),CreatedDate=new DateTime (2026,3,25,4,26,24),CreatedUserId=null,Description= "Created by seeding data",IsActive=true,IsDeleted=false,LastModifiedDate=null,LastModifiedUserId=null},</v>
      </c>
    </row>
    <row r="28" spans="1:25" x14ac:dyDescent="0.5">
      <c r="A28" s="1" t="str">
        <f t="shared" si="0"/>
        <v>26,</v>
      </c>
      <c r="B28" s="1" t="s">
        <v>37</v>
      </c>
      <c r="C28" s="1" t="str">
        <f t="shared" si="1"/>
        <v>null,</v>
      </c>
      <c r="D28" s="1" t="s">
        <v>233</v>
      </c>
      <c r="E28" s="1" t="str">
        <f t="shared" ca="1" si="2"/>
        <v>new DateTime (2026,3,25,4,26,24),</v>
      </c>
      <c r="F28" s="1" t="str">
        <f t="shared" si="3"/>
        <v>null,</v>
      </c>
      <c r="G28" s="1" t="s">
        <v>207</v>
      </c>
      <c r="H28" s="1" t="str">
        <f t="shared" si="4"/>
        <v>true,</v>
      </c>
      <c r="I28" s="1" t="str">
        <f t="shared" si="5"/>
        <v>false,</v>
      </c>
      <c r="J28" s="1" t="str">
        <f t="shared" si="6"/>
        <v>null,</v>
      </c>
      <c r="K28" s="1" t="str">
        <f t="shared" si="7"/>
        <v>null</v>
      </c>
      <c r="L28" s="6"/>
      <c r="M28" s="10" t="str">
        <f>_xlfn.TEXTJOIN("=",FALSE,A$2,A28)</f>
        <v>Id=26,</v>
      </c>
      <c r="N28" s="10" t="str">
        <f>_xlfn.TEXTJOIN("=",FALSE,B$2,B28)</f>
        <v>Title="ایرلند",</v>
      </c>
      <c r="O28" s="10" t="str">
        <f>_xlfn.TEXTJOIN("=",FALSE,C$2,C28)</f>
        <v>ParentId=null,</v>
      </c>
      <c r="P28" s="10" t="str">
        <f>_xlfn.TEXTJOIN("=",FALSE,D$2,D28)</f>
        <v>Guid=Guid.Parse("FF3E83D7-57A3-487C-99F0-0A7A6973314E"),</v>
      </c>
      <c r="Q28" s="10" t="str">
        <f t="shared" ca="1" si="8"/>
        <v>CreatedDate=new DateTime (2026,3,25,4,26,24),</v>
      </c>
      <c r="R28" s="10" t="str">
        <f t="shared" si="9"/>
        <v>CreatedUserId=null,</v>
      </c>
      <c r="S28" s="10" t="str">
        <f t="shared" si="10"/>
        <v>Description= "Created by seeding data",</v>
      </c>
      <c r="T28" s="10" t="str">
        <f t="shared" si="11"/>
        <v>IsActive=true,</v>
      </c>
      <c r="U28" s="10" t="str">
        <f t="shared" si="12"/>
        <v>IsDeleted=false,</v>
      </c>
      <c r="V28" s="10" t="str">
        <f t="shared" si="13"/>
        <v>LastModifiedDate=null,</v>
      </c>
      <c r="W28" s="10" t="str">
        <f t="shared" si="14"/>
        <v>LastModifiedUserId=null</v>
      </c>
      <c r="X28" s="9" t="str">
        <f t="shared" ca="1" si="15"/>
        <v>Id=26,Title="ایرلند",ParentId=null,Guid=Guid.Parse("FF3E83D7-57A3-487C-99F0-0A7A6973314E"),CreatedDate=new DateTime (2026,3,25,4,26,24),CreatedUserId=null,Description= "Created by seeding data",IsActive=true,IsDeleted=false,LastModifiedDate=null,LastModifiedUserId=null</v>
      </c>
      <c r="Y28" s="9" t="str">
        <f t="shared" ca="1" si="16"/>
        <v>new State{Id=26,Title="ایرلند",ParentId=null,Guid=Guid.Parse("FF3E83D7-57A3-487C-99F0-0A7A6973314E"),CreatedDate=new DateTime (2026,3,25,4,26,24),CreatedUserId=null,Description= "Created by seeding data",IsActive=true,IsDeleted=false,LastModifiedDate=null,LastModifiedUserId=null},</v>
      </c>
    </row>
    <row r="29" spans="1:25" x14ac:dyDescent="0.5">
      <c r="A29" s="1" t="str">
        <f t="shared" si="0"/>
        <v>27,</v>
      </c>
      <c r="B29" s="1" t="s">
        <v>38</v>
      </c>
      <c r="C29" s="1" t="str">
        <f t="shared" si="1"/>
        <v>null,</v>
      </c>
      <c r="D29" s="1" t="s">
        <v>234</v>
      </c>
      <c r="E29" s="1" t="str">
        <f t="shared" ca="1" si="2"/>
        <v>new DateTime (2026,3,25,4,26,24),</v>
      </c>
      <c r="F29" s="1" t="str">
        <f t="shared" si="3"/>
        <v>null,</v>
      </c>
      <c r="G29" s="1" t="s">
        <v>207</v>
      </c>
      <c r="H29" s="1" t="str">
        <f t="shared" si="4"/>
        <v>true,</v>
      </c>
      <c r="I29" s="1" t="str">
        <f t="shared" si="5"/>
        <v>false,</v>
      </c>
      <c r="J29" s="1" t="str">
        <f t="shared" si="6"/>
        <v>null,</v>
      </c>
      <c r="K29" s="1" t="str">
        <f t="shared" si="7"/>
        <v>null</v>
      </c>
      <c r="L29" s="6"/>
      <c r="M29" s="10" t="str">
        <f>_xlfn.TEXTJOIN("=",FALSE,A$2,A29)</f>
        <v>Id=27,</v>
      </c>
      <c r="N29" s="10" t="str">
        <f>_xlfn.TEXTJOIN("=",FALSE,B$2,B29)</f>
        <v>Title="ایسلند",</v>
      </c>
      <c r="O29" s="10" t="str">
        <f>_xlfn.TEXTJOIN("=",FALSE,C$2,C29)</f>
        <v>ParentId=null,</v>
      </c>
      <c r="P29" s="10" t="str">
        <f>_xlfn.TEXTJOIN("=",FALSE,D$2,D29)</f>
        <v>Guid=Guid.Parse("AE2ADFAD-3769-48A4-A1DB-D5958D4E9F4F"),</v>
      </c>
      <c r="Q29" s="10" t="str">
        <f t="shared" ca="1" si="8"/>
        <v>CreatedDate=new DateTime (2026,3,25,4,26,24),</v>
      </c>
      <c r="R29" s="10" t="str">
        <f t="shared" si="9"/>
        <v>CreatedUserId=null,</v>
      </c>
      <c r="S29" s="10" t="str">
        <f t="shared" si="10"/>
        <v>Description= "Created by seeding data",</v>
      </c>
      <c r="T29" s="10" t="str">
        <f t="shared" si="11"/>
        <v>IsActive=true,</v>
      </c>
      <c r="U29" s="10" t="str">
        <f t="shared" si="12"/>
        <v>IsDeleted=false,</v>
      </c>
      <c r="V29" s="10" t="str">
        <f t="shared" si="13"/>
        <v>LastModifiedDate=null,</v>
      </c>
      <c r="W29" s="10" t="str">
        <f t="shared" si="14"/>
        <v>LastModifiedUserId=null</v>
      </c>
      <c r="X29" s="9" t="str">
        <f t="shared" ca="1" si="15"/>
        <v>Id=27,Title="ایسلند",ParentId=null,Guid=Guid.Parse("AE2ADFAD-3769-48A4-A1DB-D5958D4E9F4F"),CreatedDate=new DateTime (2026,3,25,4,26,24),CreatedUserId=null,Description= "Created by seeding data",IsActive=true,IsDeleted=false,LastModifiedDate=null,LastModifiedUserId=null</v>
      </c>
      <c r="Y29" s="9" t="str">
        <f t="shared" ca="1" si="16"/>
        <v>new State{Id=27,Title="ایسلند",ParentId=null,Guid=Guid.Parse("AE2ADFAD-3769-48A4-A1DB-D5958D4E9F4F"),CreatedDate=new DateTime (2026,3,25,4,26,24),CreatedUserId=null,Description= "Created by seeding data",IsActive=true,IsDeleted=false,LastModifiedDate=null,LastModifiedUserId=null},</v>
      </c>
    </row>
    <row r="30" spans="1:25" x14ac:dyDescent="0.5">
      <c r="A30" s="1" t="str">
        <f t="shared" si="0"/>
        <v>28,</v>
      </c>
      <c r="B30" s="1" t="s">
        <v>39</v>
      </c>
      <c r="C30" s="1" t="str">
        <f t="shared" si="1"/>
        <v>null,</v>
      </c>
      <c r="D30" s="1" t="s">
        <v>235</v>
      </c>
      <c r="E30" s="1" t="str">
        <f t="shared" ca="1" si="2"/>
        <v>new DateTime (2026,3,25,4,26,24),</v>
      </c>
      <c r="F30" s="1" t="str">
        <f t="shared" si="3"/>
        <v>null,</v>
      </c>
      <c r="G30" s="1" t="s">
        <v>207</v>
      </c>
      <c r="H30" s="1" t="str">
        <f t="shared" si="4"/>
        <v>true,</v>
      </c>
      <c r="I30" s="1" t="str">
        <f t="shared" si="5"/>
        <v>false,</v>
      </c>
      <c r="J30" s="1" t="str">
        <f t="shared" si="6"/>
        <v>null,</v>
      </c>
      <c r="K30" s="1" t="str">
        <f t="shared" si="7"/>
        <v>null</v>
      </c>
      <c r="L30" s="6"/>
      <c r="M30" s="10" t="str">
        <f>_xlfn.TEXTJOIN("=",FALSE,A$2,A30)</f>
        <v>Id=28,</v>
      </c>
      <c r="N30" s="10" t="str">
        <f>_xlfn.TEXTJOIN("=",FALSE,B$2,B30)</f>
        <v>Title="آذربایجان",</v>
      </c>
      <c r="O30" s="10" t="str">
        <f>_xlfn.TEXTJOIN("=",FALSE,C$2,C30)</f>
        <v>ParentId=null,</v>
      </c>
      <c r="P30" s="10" t="str">
        <f>_xlfn.TEXTJOIN("=",FALSE,D$2,D30)</f>
        <v>Guid=Guid.Parse("19098DDE-03CF-43D9-8E55-906850BA015E"),</v>
      </c>
      <c r="Q30" s="10" t="str">
        <f t="shared" ca="1" si="8"/>
        <v>CreatedDate=new DateTime (2026,3,25,4,26,24),</v>
      </c>
      <c r="R30" s="10" t="str">
        <f t="shared" si="9"/>
        <v>CreatedUserId=null,</v>
      </c>
      <c r="S30" s="10" t="str">
        <f t="shared" si="10"/>
        <v>Description= "Created by seeding data",</v>
      </c>
      <c r="T30" s="10" t="str">
        <f t="shared" si="11"/>
        <v>IsActive=true,</v>
      </c>
      <c r="U30" s="10" t="str">
        <f t="shared" si="12"/>
        <v>IsDeleted=false,</v>
      </c>
      <c r="V30" s="10" t="str">
        <f t="shared" si="13"/>
        <v>LastModifiedDate=null,</v>
      </c>
      <c r="W30" s="10" t="str">
        <f t="shared" si="14"/>
        <v>LastModifiedUserId=null</v>
      </c>
      <c r="X30" s="9" t="str">
        <f t="shared" ca="1" si="15"/>
        <v>Id=28,Title="آذربایجان",ParentId=null,Guid=Guid.Parse("19098DDE-03CF-43D9-8E55-906850BA015E"),CreatedDate=new DateTime (2026,3,25,4,26,24),CreatedUserId=null,Description= "Created by seeding data",IsActive=true,IsDeleted=false,LastModifiedDate=null,LastModifiedUserId=null</v>
      </c>
      <c r="Y30" s="9" t="str">
        <f t="shared" ca="1" si="16"/>
        <v>new State{Id=28,Title="آذربایجان",ParentId=null,Guid=Guid.Parse("19098DDE-03CF-43D9-8E55-906850BA015E"),CreatedDate=new DateTime (2026,3,25,4,26,24),CreatedUserId=null,Description= "Created by seeding data",IsActive=true,IsDeleted=false,LastModifiedDate=null,LastModifiedUserId=null},</v>
      </c>
    </row>
    <row r="31" spans="1:25" x14ac:dyDescent="0.5">
      <c r="A31" s="1" t="str">
        <f t="shared" si="0"/>
        <v>29,</v>
      </c>
      <c r="B31" s="1" t="s">
        <v>40</v>
      </c>
      <c r="C31" s="1" t="str">
        <f t="shared" si="1"/>
        <v>null,</v>
      </c>
      <c r="D31" s="1" t="s">
        <v>236</v>
      </c>
      <c r="E31" s="1" t="str">
        <f t="shared" ca="1" si="2"/>
        <v>new DateTime (2026,3,25,4,26,24),</v>
      </c>
      <c r="F31" s="1" t="str">
        <f t="shared" si="3"/>
        <v>null,</v>
      </c>
      <c r="G31" s="1" t="s">
        <v>207</v>
      </c>
      <c r="H31" s="1" t="str">
        <f t="shared" si="4"/>
        <v>true,</v>
      </c>
      <c r="I31" s="1" t="str">
        <f t="shared" si="5"/>
        <v>false,</v>
      </c>
      <c r="J31" s="1" t="str">
        <f t="shared" si="6"/>
        <v>null,</v>
      </c>
      <c r="K31" s="1" t="str">
        <f t="shared" si="7"/>
        <v>null</v>
      </c>
      <c r="L31" s="6"/>
      <c r="M31" s="10" t="str">
        <f>_xlfn.TEXTJOIN("=",FALSE,A$2,A31)</f>
        <v>Id=29,</v>
      </c>
      <c r="N31" s="10" t="str">
        <f>_xlfn.TEXTJOIN("=",FALSE,B$2,B31)</f>
        <v>Title="آرژانتین",</v>
      </c>
      <c r="O31" s="10" t="str">
        <f>_xlfn.TEXTJOIN("=",FALSE,C$2,C31)</f>
        <v>ParentId=null,</v>
      </c>
      <c r="P31" s="10" t="str">
        <f>_xlfn.TEXTJOIN("=",FALSE,D$2,D31)</f>
        <v>Guid=Guid.Parse("49B760D0-493A-4125-8465-7F40DFE21604"),</v>
      </c>
      <c r="Q31" s="10" t="str">
        <f t="shared" ca="1" si="8"/>
        <v>CreatedDate=new DateTime (2026,3,25,4,26,24),</v>
      </c>
      <c r="R31" s="10" t="str">
        <f t="shared" si="9"/>
        <v>CreatedUserId=null,</v>
      </c>
      <c r="S31" s="10" t="str">
        <f t="shared" si="10"/>
        <v>Description= "Created by seeding data",</v>
      </c>
      <c r="T31" s="10" t="str">
        <f t="shared" si="11"/>
        <v>IsActive=true,</v>
      </c>
      <c r="U31" s="10" t="str">
        <f t="shared" si="12"/>
        <v>IsDeleted=false,</v>
      </c>
      <c r="V31" s="10" t="str">
        <f t="shared" si="13"/>
        <v>LastModifiedDate=null,</v>
      </c>
      <c r="W31" s="10" t="str">
        <f t="shared" si="14"/>
        <v>LastModifiedUserId=null</v>
      </c>
      <c r="X31" s="9" t="str">
        <f t="shared" ca="1" si="15"/>
        <v>Id=29,Title="آرژانتین",ParentId=null,Guid=Guid.Parse("49B760D0-493A-4125-8465-7F40DFE21604"),CreatedDate=new DateTime (2026,3,25,4,26,24),CreatedUserId=null,Description= "Created by seeding data",IsActive=true,IsDeleted=false,LastModifiedDate=null,LastModifiedUserId=null</v>
      </c>
      <c r="Y31" s="9" t="str">
        <f t="shared" ca="1" si="16"/>
        <v>new State{Id=29,Title="آرژانتین",ParentId=null,Guid=Guid.Parse("49B760D0-493A-4125-8465-7F40DFE21604"),CreatedDate=new DateTime (2026,3,25,4,26,24),CreatedUserId=null,Description= "Created by seeding data",IsActive=true,IsDeleted=false,LastModifiedDate=null,LastModifiedUserId=null},</v>
      </c>
    </row>
    <row r="32" spans="1:25" x14ac:dyDescent="0.5">
      <c r="A32" s="1" t="str">
        <f t="shared" si="0"/>
        <v>30,</v>
      </c>
      <c r="B32" s="1" t="s">
        <v>41</v>
      </c>
      <c r="C32" s="1" t="str">
        <f t="shared" si="1"/>
        <v>null,</v>
      </c>
      <c r="D32" s="1" t="s">
        <v>237</v>
      </c>
      <c r="E32" s="1" t="str">
        <f t="shared" ca="1" si="2"/>
        <v>new DateTime (2026,3,25,4,26,24),</v>
      </c>
      <c r="F32" s="1" t="str">
        <f t="shared" si="3"/>
        <v>null,</v>
      </c>
      <c r="G32" s="1" t="s">
        <v>207</v>
      </c>
      <c r="H32" s="1" t="str">
        <f t="shared" si="4"/>
        <v>true,</v>
      </c>
      <c r="I32" s="1" t="str">
        <f t="shared" si="5"/>
        <v>false,</v>
      </c>
      <c r="J32" s="1" t="str">
        <f t="shared" si="6"/>
        <v>null,</v>
      </c>
      <c r="K32" s="1" t="str">
        <f t="shared" si="7"/>
        <v>null</v>
      </c>
      <c r="L32" s="6"/>
      <c r="M32" s="10" t="str">
        <f>_xlfn.TEXTJOIN("=",FALSE,A$2,A32)</f>
        <v>Id=30,</v>
      </c>
      <c r="N32" s="10" t="str">
        <f>_xlfn.TEXTJOIN("=",FALSE,B$2,B32)</f>
        <v>Title="آفریقای جنوبی",</v>
      </c>
      <c r="O32" s="10" t="str">
        <f>_xlfn.TEXTJOIN("=",FALSE,C$2,C32)</f>
        <v>ParentId=null,</v>
      </c>
      <c r="P32" s="10" t="str">
        <f>_xlfn.TEXTJOIN("=",FALSE,D$2,D32)</f>
        <v>Guid=Guid.Parse("C5B15FCA-A561-4CA9-B7B1-AC0CB0AA5660"),</v>
      </c>
      <c r="Q32" s="10" t="str">
        <f t="shared" ca="1" si="8"/>
        <v>CreatedDate=new DateTime (2026,3,25,4,26,24),</v>
      </c>
      <c r="R32" s="10" t="str">
        <f t="shared" si="9"/>
        <v>CreatedUserId=null,</v>
      </c>
      <c r="S32" s="10" t="str">
        <f t="shared" si="10"/>
        <v>Description= "Created by seeding data",</v>
      </c>
      <c r="T32" s="10" t="str">
        <f t="shared" si="11"/>
        <v>IsActive=true,</v>
      </c>
      <c r="U32" s="10" t="str">
        <f t="shared" si="12"/>
        <v>IsDeleted=false,</v>
      </c>
      <c r="V32" s="10" t="str">
        <f t="shared" si="13"/>
        <v>LastModifiedDate=null,</v>
      </c>
      <c r="W32" s="10" t="str">
        <f t="shared" si="14"/>
        <v>LastModifiedUserId=null</v>
      </c>
      <c r="X32" s="9" t="str">
        <f t="shared" ca="1" si="15"/>
        <v>Id=30,Title="آفریقای جنوبی",ParentId=null,Guid=Guid.Parse("C5B15FCA-A561-4CA9-B7B1-AC0CB0AA5660"),CreatedDate=new DateTime (2026,3,25,4,26,24),CreatedUserId=null,Description= "Created by seeding data",IsActive=true,IsDeleted=false,LastModifiedDate=null,LastModifiedUserId=null</v>
      </c>
      <c r="Y32" s="9" t="str">
        <f t="shared" ca="1" si="16"/>
        <v>new State{Id=30,Title="آفریقای جنوبی",ParentId=null,Guid=Guid.Parse("C5B15FCA-A561-4CA9-B7B1-AC0CB0AA5660"),CreatedDate=new DateTime (2026,3,25,4,26,24),CreatedUserId=null,Description= "Created by seeding data",IsActive=true,IsDeleted=false,LastModifiedDate=null,LastModifiedUserId=null},</v>
      </c>
    </row>
    <row r="33" spans="1:25" x14ac:dyDescent="0.5">
      <c r="A33" s="1" t="str">
        <f t="shared" si="0"/>
        <v>31,</v>
      </c>
      <c r="B33" s="1" t="s">
        <v>42</v>
      </c>
      <c r="C33" s="1" t="str">
        <f t="shared" si="1"/>
        <v>null,</v>
      </c>
      <c r="D33" s="1" t="s">
        <v>238</v>
      </c>
      <c r="E33" s="1" t="str">
        <f t="shared" ca="1" si="2"/>
        <v>new DateTime (2026,3,25,4,26,24),</v>
      </c>
      <c r="F33" s="1" t="str">
        <f t="shared" si="3"/>
        <v>null,</v>
      </c>
      <c r="G33" s="1" t="s">
        <v>207</v>
      </c>
      <c r="H33" s="1" t="str">
        <f t="shared" si="4"/>
        <v>true,</v>
      </c>
      <c r="I33" s="1" t="str">
        <f t="shared" si="5"/>
        <v>false,</v>
      </c>
      <c r="J33" s="1" t="str">
        <f t="shared" si="6"/>
        <v>null,</v>
      </c>
      <c r="K33" s="1" t="str">
        <f t="shared" si="7"/>
        <v>null</v>
      </c>
      <c r="L33" s="6"/>
      <c r="M33" s="10" t="str">
        <f>_xlfn.TEXTJOIN("=",FALSE,A$2,A33)</f>
        <v>Id=31,</v>
      </c>
      <c r="N33" s="10" t="str">
        <f>_xlfn.TEXTJOIN("=",FALSE,B$2,B33)</f>
        <v>Title="آلبانی",</v>
      </c>
      <c r="O33" s="10" t="str">
        <f>_xlfn.TEXTJOIN("=",FALSE,C$2,C33)</f>
        <v>ParentId=null,</v>
      </c>
      <c r="P33" s="10" t="str">
        <f>_xlfn.TEXTJOIN("=",FALSE,D$2,D33)</f>
        <v>Guid=Guid.Parse("06193B94-C92E-4C2F-9DF1-4D1A0B48DE1B"),</v>
      </c>
      <c r="Q33" s="10" t="str">
        <f t="shared" ca="1" si="8"/>
        <v>CreatedDate=new DateTime (2026,3,25,4,26,24),</v>
      </c>
      <c r="R33" s="10" t="str">
        <f t="shared" si="9"/>
        <v>CreatedUserId=null,</v>
      </c>
      <c r="S33" s="10" t="str">
        <f t="shared" si="10"/>
        <v>Description= "Created by seeding data",</v>
      </c>
      <c r="T33" s="10" t="str">
        <f t="shared" si="11"/>
        <v>IsActive=true,</v>
      </c>
      <c r="U33" s="10" t="str">
        <f t="shared" si="12"/>
        <v>IsDeleted=false,</v>
      </c>
      <c r="V33" s="10" t="str">
        <f t="shared" si="13"/>
        <v>LastModifiedDate=null,</v>
      </c>
      <c r="W33" s="10" t="str">
        <f t="shared" si="14"/>
        <v>LastModifiedUserId=null</v>
      </c>
      <c r="X33" s="9" t="str">
        <f t="shared" ca="1" si="15"/>
        <v>Id=31,Title="آلبانی",ParentId=null,Guid=Guid.Parse("06193B94-C92E-4C2F-9DF1-4D1A0B48DE1B"),CreatedDate=new DateTime (2026,3,25,4,26,24),CreatedUserId=null,Description= "Created by seeding data",IsActive=true,IsDeleted=false,LastModifiedDate=null,LastModifiedUserId=null</v>
      </c>
      <c r="Y33" s="9" t="str">
        <f t="shared" ca="1" si="16"/>
        <v>new State{Id=31,Title="آلبانی",ParentId=null,Guid=Guid.Parse("06193B94-C92E-4C2F-9DF1-4D1A0B48DE1B"),CreatedDate=new DateTime (2026,3,25,4,26,24),CreatedUserId=null,Description= "Created by seeding data",IsActive=true,IsDeleted=false,LastModifiedDate=null,LastModifiedUserId=null},</v>
      </c>
    </row>
    <row r="34" spans="1:25" x14ac:dyDescent="0.5">
      <c r="A34" s="1" t="str">
        <f t="shared" si="0"/>
        <v>32,</v>
      </c>
      <c r="B34" s="1" t="s">
        <v>43</v>
      </c>
      <c r="C34" s="1" t="str">
        <f t="shared" si="1"/>
        <v>null,</v>
      </c>
      <c r="D34" s="1" t="s">
        <v>239</v>
      </c>
      <c r="E34" s="1" t="str">
        <f t="shared" ca="1" si="2"/>
        <v>new DateTime (2026,3,25,4,26,24),</v>
      </c>
      <c r="F34" s="1" t="str">
        <f t="shared" si="3"/>
        <v>null,</v>
      </c>
      <c r="G34" s="1" t="s">
        <v>207</v>
      </c>
      <c r="H34" s="1" t="str">
        <f t="shared" si="4"/>
        <v>true,</v>
      </c>
      <c r="I34" s="1" t="str">
        <f t="shared" si="5"/>
        <v>false,</v>
      </c>
      <c r="J34" s="1" t="str">
        <f t="shared" si="6"/>
        <v>null,</v>
      </c>
      <c r="K34" s="1" t="str">
        <f t="shared" si="7"/>
        <v>null</v>
      </c>
      <c r="L34" s="6"/>
      <c r="M34" s="10" t="str">
        <f>_xlfn.TEXTJOIN("=",FALSE,A$2,A34)</f>
        <v>Id=32,</v>
      </c>
      <c r="N34" s="10" t="str">
        <f>_xlfn.TEXTJOIN("=",FALSE,B$2,B34)</f>
        <v>Title="آلمان",</v>
      </c>
      <c r="O34" s="10" t="str">
        <f>_xlfn.TEXTJOIN("=",FALSE,C$2,C34)</f>
        <v>ParentId=null,</v>
      </c>
      <c r="P34" s="10" t="str">
        <f>_xlfn.TEXTJOIN("=",FALSE,D$2,D34)</f>
        <v>Guid=Guid.Parse("37DFD360-F35E-4627-9FDD-CF1612C09706"),</v>
      </c>
      <c r="Q34" s="10" t="str">
        <f t="shared" ca="1" si="8"/>
        <v>CreatedDate=new DateTime (2026,3,25,4,26,24),</v>
      </c>
      <c r="R34" s="10" t="str">
        <f t="shared" si="9"/>
        <v>CreatedUserId=null,</v>
      </c>
      <c r="S34" s="10" t="str">
        <f t="shared" si="10"/>
        <v>Description= "Created by seeding data",</v>
      </c>
      <c r="T34" s="10" t="str">
        <f t="shared" si="11"/>
        <v>IsActive=true,</v>
      </c>
      <c r="U34" s="10" t="str">
        <f t="shared" si="12"/>
        <v>IsDeleted=false,</v>
      </c>
      <c r="V34" s="10" t="str">
        <f t="shared" si="13"/>
        <v>LastModifiedDate=null,</v>
      </c>
      <c r="W34" s="10" t="str">
        <f t="shared" si="14"/>
        <v>LastModifiedUserId=null</v>
      </c>
      <c r="X34" s="9" t="str">
        <f t="shared" ca="1" si="15"/>
        <v>Id=32,Title="آلمان",ParentId=null,Guid=Guid.Parse("37DFD360-F35E-4627-9FDD-CF1612C09706"),CreatedDate=new DateTime (2026,3,25,4,26,24),CreatedUserId=null,Description= "Created by seeding data",IsActive=true,IsDeleted=false,LastModifiedDate=null,LastModifiedUserId=null</v>
      </c>
      <c r="Y34" s="9" t="str">
        <f t="shared" ca="1" si="16"/>
        <v>new State{Id=32,Title="آلمان",ParentId=null,Guid=Guid.Parse("37DFD360-F35E-4627-9FDD-CF1612C09706"),CreatedDate=new DateTime (2026,3,25,4,26,24),CreatedUserId=null,Description= "Created by seeding data",IsActive=true,IsDeleted=false,LastModifiedDate=null,LastModifiedUserId=null},</v>
      </c>
    </row>
    <row r="35" spans="1:25" x14ac:dyDescent="0.5">
      <c r="A35" s="1" t="str">
        <f t="shared" si="0"/>
        <v>33,</v>
      </c>
      <c r="B35" s="1" t="s">
        <v>44</v>
      </c>
      <c r="C35" s="1" t="str">
        <f t="shared" si="1"/>
        <v>null,</v>
      </c>
      <c r="D35" s="1" t="s">
        <v>240</v>
      </c>
      <c r="E35" s="1" t="str">
        <f t="shared" ca="1" si="2"/>
        <v>new DateTime (2026,3,25,4,26,24),</v>
      </c>
      <c r="F35" s="1" t="str">
        <f t="shared" si="3"/>
        <v>null,</v>
      </c>
      <c r="G35" s="1" t="s">
        <v>207</v>
      </c>
      <c r="H35" s="1" t="str">
        <f t="shared" si="4"/>
        <v>true,</v>
      </c>
      <c r="I35" s="1" t="str">
        <f t="shared" si="5"/>
        <v>false,</v>
      </c>
      <c r="J35" s="1" t="str">
        <f t="shared" si="6"/>
        <v>null,</v>
      </c>
      <c r="K35" s="1" t="str">
        <f t="shared" si="7"/>
        <v>null</v>
      </c>
      <c r="L35" s="6"/>
      <c r="M35" s="10" t="str">
        <f>_xlfn.TEXTJOIN("=",FALSE,A$2,A35)</f>
        <v>Id=33,</v>
      </c>
      <c r="N35" s="10" t="str">
        <f>_xlfn.TEXTJOIN("=",FALSE,B$2,B35)</f>
        <v>Title="آنتیگوا و باربودا",</v>
      </c>
      <c r="O35" s="10" t="str">
        <f>_xlfn.TEXTJOIN("=",FALSE,C$2,C35)</f>
        <v>ParentId=null,</v>
      </c>
      <c r="P35" s="10" t="str">
        <f>_xlfn.TEXTJOIN("=",FALSE,D$2,D35)</f>
        <v>Guid=Guid.Parse("D6C658A9-3618-4F63-B36F-B908176E3A3E"),</v>
      </c>
      <c r="Q35" s="10" t="str">
        <f t="shared" ca="1" si="8"/>
        <v>CreatedDate=new DateTime (2026,3,25,4,26,24),</v>
      </c>
      <c r="R35" s="10" t="str">
        <f t="shared" si="9"/>
        <v>CreatedUserId=null,</v>
      </c>
      <c r="S35" s="10" t="str">
        <f t="shared" si="10"/>
        <v>Description= "Created by seeding data",</v>
      </c>
      <c r="T35" s="10" t="str">
        <f t="shared" si="11"/>
        <v>IsActive=true,</v>
      </c>
      <c r="U35" s="10" t="str">
        <f t="shared" si="12"/>
        <v>IsDeleted=false,</v>
      </c>
      <c r="V35" s="10" t="str">
        <f t="shared" si="13"/>
        <v>LastModifiedDate=null,</v>
      </c>
      <c r="W35" s="10" t="str">
        <f t="shared" si="14"/>
        <v>LastModifiedUserId=null</v>
      </c>
      <c r="X35" s="9" t="str">
        <f t="shared" ca="1" si="15"/>
        <v>Id=33,Title="آنتیگوا و باربودا",ParentId=null,Guid=Guid.Parse("D6C658A9-3618-4F63-B36F-B908176E3A3E"),CreatedDate=new DateTime (2026,3,25,4,26,24),CreatedUserId=null,Description= "Created by seeding data",IsActive=true,IsDeleted=false,LastModifiedDate=null,LastModifiedUserId=null</v>
      </c>
      <c r="Y35" s="9" t="str">
        <f t="shared" ca="1" si="16"/>
        <v>new State{Id=33,Title="آنتیگوا و باربودا",ParentId=null,Guid=Guid.Parse("D6C658A9-3618-4F63-B36F-B908176E3A3E"),CreatedDate=new DateTime (2026,3,25,4,26,24),CreatedUserId=null,Description= "Created by seeding data",IsActive=true,IsDeleted=false,LastModifiedDate=null,LastModifiedUserId=null},</v>
      </c>
    </row>
    <row r="36" spans="1:25" x14ac:dyDescent="0.5">
      <c r="A36" s="1" t="str">
        <f t="shared" si="0"/>
        <v>34,</v>
      </c>
      <c r="B36" s="1" t="s">
        <v>45</v>
      </c>
      <c r="C36" s="1" t="str">
        <f t="shared" si="1"/>
        <v>null,</v>
      </c>
      <c r="D36" s="1" t="s">
        <v>241</v>
      </c>
      <c r="E36" s="1" t="str">
        <f t="shared" ca="1" si="2"/>
        <v>new DateTime (2026,3,25,4,26,24),</v>
      </c>
      <c r="F36" s="1" t="str">
        <f t="shared" si="3"/>
        <v>null,</v>
      </c>
      <c r="G36" s="1" t="s">
        <v>207</v>
      </c>
      <c r="H36" s="1" t="str">
        <f t="shared" si="4"/>
        <v>true,</v>
      </c>
      <c r="I36" s="1" t="str">
        <f t="shared" si="5"/>
        <v>false,</v>
      </c>
      <c r="J36" s="1" t="str">
        <f t="shared" si="6"/>
        <v>null,</v>
      </c>
      <c r="K36" s="1" t="str">
        <f t="shared" si="7"/>
        <v>null</v>
      </c>
      <c r="L36" s="6"/>
      <c r="M36" s="10" t="str">
        <f>_xlfn.TEXTJOIN("=",FALSE,A$2,A36)</f>
        <v>Id=34,</v>
      </c>
      <c r="N36" s="10" t="str">
        <f>_xlfn.TEXTJOIN("=",FALSE,B$2,B36)</f>
        <v>Title="آندورا",</v>
      </c>
      <c r="O36" s="10" t="str">
        <f>_xlfn.TEXTJOIN("=",FALSE,C$2,C36)</f>
        <v>ParentId=null,</v>
      </c>
      <c r="P36" s="10" t="str">
        <f>_xlfn.TEXTJOIN("=",FALSE,D$2,D36)</f>
        <v>Guid=Guid.Parse("0F04C3C7-F366-4202-9D16-4461D4744750"),</v>
      </c>
      <c r="Q36" s="10" t="str">
        <f t="shared" ca="1" si="8"/>
        <v>CreatedDate=new DateTime (2026,3,25,4,26,24),</v>
      </c>
      <c r="R36" s="10" t="str">
        <f t="shared" si="9"/>
        <v>CreatedUserId=null,</v>
      </c>
      <c r="S36" s="10" t="str">
        <f t="shared" si="10"/>
        <v>Description= "Created by seeding data",</v>
      </c>
      <c r="T36" s="10" t="str">
        <f t="shared" si="11"/>
        <v>IsActive=true,</v>
      </c>
      <c r="U36" s="10" t="str">
        <f t="shared" si="12"/>
        <v>IsDeleted=false,</v>
      </c>
      <c r="V36" s="10" t="str">
        <f t="shared" si="13"/>
        <v>LastModifiedDate=null,</v>
      </c>
      <c r="W36" s="10" t="str">
        <f t="shared" si="14"/>
        <v>LastModifiedUserId=null</v>
      </c>
      <c r="X36" s="9" t="str">
        <f t="shared" ca="1" si="15"/>
        <v>Id=34,Title="آندورا",ParentId=null,Guid=Guid.Parse("0F04C3C7-F366-4202-9D16-4461D4744750"),CreatedDate=new DateTime (2026,3,25,4,26,24),CreatedUserId=null,Description= "Created by seeding data",IsActive=true,IsDeleted=false,LastModifiedDate=null,LastModifiedUserId=null</v>
      </c>
      <c r="Y36" s="9" t="str">
        <f t="shared" ca="1" si="16"/>
        <v>new State{Id=34,Title="آندورا",ParentId=null,Guid=Guid.Parse("0F04C3C7-F366-4202-9D16-4461D4744750"),CreatedDate=new DateTime (2026,3,25,4,26,24),CreatedUserId=null,Description= "Created by seeding data",IsActive=true,IsDeleted=false,LastModifiedDate=null,LastModifiedUserId=null},</v>
      </c>
    </row>
    <row r="37" spans="1:25" x14ac:dyDescent="0.5">
      <c r="A37" s="1" t="str">
        <f t="shared" si="0"/>
        <v>35,</v>
      </c>
      <c r="B37" s="1" t="s">
        <v>46</v>
      </c>
      <c r="C37" s="1" t="str">
        <f t="shared" si="1"/>
        <v>null,</v>
      </c>
      <c r="D37" s="1" t="s">
        <v>242</v>
      </c>
      <c r="E37" s="1" t="str">
        <f t="shared" ca="1" si="2"/>
        <v>new DateTime (2026,3,25,4,26,24),</v>
      </c>
      <c r="F37" s="1" t="str">
        <f t="shared" si="3"/>
        <v>null,</v>
      </c>
      <c r="G37" s="1" t="s">
        <v>207</v>
      </c>
      <c r="H37" s="1" t="str">
        <f t="shared" si="4"/>
        <v>true,</v>
      </c>
      <c r="I37" s="1" t="str">
        <f t="shared" si="5"/>
        <v>false,</v>
      </c>
      <c r="J37" s="1" t="str">
        <f t="shared" si="6"/>
        <v>null,</v>
      </c>
      <c r="K37" s="1" t="str">
        <f t="shared" si="7"/>
        <v>null</v>
      </c>
      <c r="L37" s="6"/>
      <c r="M37" s="10" t="str">
        <f>_xlfn.TEXTJOIN("=",FALSE,A$2,A37)</f>
        <v>Id=35,</v>
      </c>
      <c r="N37" s="10" t="str">
        <f>_xlfn.TEXTJOIN("=",FALSE,B$2,B37)</f>
        <v>Title="آنگولا",</v>
      </c>
      <c r="O37" s="10" t="str">
        <f>_xlfn.TEXTJOIN("=",FALSE,C$2,C37)</f>
        <v>ParentId=null,</v>
      </c>
      <c r="P37" s="10" t="str">
        <f>_xlfn.TEXTJOIN("=",FALSE,D$2,D37)</f>
        <v>Guid=Guid.Parse("1793565D-79BA-45E7-B329-BD3F210A03D5"),</v>
      </c>
      <c r="Q37" s="10" t="str">
        <f t="shared" ca="1" si="8"/>
        <v>CreatedDate=new DateTime (2026,3,25,4,26,24),</v>
      </c>
      <c r="R37" s="10" t="str">
        <f t="shared" si="9"/>
        <v>CreatedUserId=null,</v>
      </c>
      <c r="S37" s="10" t="str">
        <f t="shared" si="10"/>
        <v>Description= "Created by seeding data",</v>
      </c>
      <c r="T37" s="10" t="str">
        <f t="shared" si="11"/>
        <v>IsActive=true,</v>
      </c>
      <c r="U37" s="10" t="str">
        <f t="shared" si="12"/>
        <v>IsDeleted=false,</v>
      </c>
      <c r="V37" s="10" t="str">
        <f t="shared" si="13"/>
        <v>LastModifiedDate=null,</v>
      </c>
      <c r="W37" s="10" t="str">
        <f t="shared" si="14"/>
        <v>LastModifiedUserId=null</v>
      </c>
      <c r="X37" s="9" t="str">
        <f t="shared" ca="1" si="15"/>
        <v>Id=35,Title="آنگولا",ParentId=null,Guid=Guid.Parse("1793565D-79BA-45E7-B329-BD3F210A03D5"),CreatedDate=new DateTime (2026,3,25,4,26,24),CreatedUserId=null,Description= "Created by seeding data",IsActive=true,IsDeleted=false,LastModifiedDate=null,LastModifiedUserId=null</v>
      </c>
      <c r="Y37" s="9" t="str">
        <f t="shared" ca="1" si="16"/>
        <v>new State{Id=35,Title="آنگولا",ParentId=null,Guid=Guid.Parse("1793565D-79BA-45E7-B329-BD3F210A03D5"),CreatedDate=new DateTime (2026,3,25,4,26,24),CreatedUserId=null,Description= "Created by seeding data",IsActive=true,IsDeleted=false,LastModifiedDate=null,LastModifiedUserId=null},</v>
      </c>
    </row>
    <row r="38" spans="1:25" x14ac:dyDescent="0.5">
      <c r="A38" s="1" t="str">
        <f t="shared" si="0"/>
        <v>36,</v>
      </c>
      <c r="B38" s="1" t="s">
        <v>47</v>
      </c>
      <c r="C38" s="1" t="str">
        <f t="shared" si="1"/>
        <v>null,</v>
      </c>
      <c r="D38" s="1" t="s">
        <v>243</v>
      </c>
      <c r="E38" s="1" t="str">
        <f t="shared" ca="1" si="2"/>
        <v>new DateTime (2026,3,25,4,26,24),</v>
      </c>
      <c r="F38" s="1" t="str">
        <f t="shared" si="3"/>
        <v>null,</v>
      </c>
      <c r="G38" s="1" t="s">
        <v>207</v>
      </c>
      <c r="H38" s="1" t="str">
        <f t="shared" si="4"/>
        <v>true,</v>
      </c>
      <c r="I38" s="1" t="str">
        <f t="shared" si="5"/>
        <v>false,</v>
      </c>
      <c r="J38" s="1" t="str">
        <f t="shared" si="6"/>
        <v>null,</v>
      </c>
      <c r="K38" s="1" t="str">
        <f t="shared" si="7"/>
        <v>null</v>
      </c>
      <c r="L38" s="6"/>
      <c r="M38" s="10" t="str">
        <f>_xlfn.TEXTJOIN("=",FALSE,A$2,A38)</f>
        <v>Id=36,</v>
      </c>
      <c r="N38" s="10" t="str">
        <f>_xlfn.TEXTJOIN("=",FALSE,B$2,B38)</f>
        <v>Title="باربادوس",</v>
      </c>
      <c r="O38" s="10" t="str">
        <f>_xlfn.TEXTJOIN("=",FALSE,C$2,C38)</f>
        <v>ParentId=null,</v>
      </c>
      <c r="P38" s="10" t="str">
        <f>_xlfn.TEXTJOIN("=",FALSE,D$2,D38)</f>
        <v>Guid=Guid.Parse("42D9A72F-D771-47F3-8016-21FCBA8FD5D4"),</v>
      </c>
      <c r="Q38" s="10" t="str">
        <f t="shared" ca="1" si="8"/>
        <v>CreatedDate=new DateTime (2026,3,25,4,26,24),</v>
      </c>
      <c r="R38" s="10" t="str">
        <f t="shared" si="9"/>
        <v>CreatedUserId=null,</v>
      </c>
      <c r="S38" s="10" t="str">
        <f t="shared" si="10"/>
        <v>Description= "Created by seeding data",</v>
      </c>
      <c r="T38" s="10" t="str">
        <f t="shared" si="11"/>
        <v>IsActive=true,</v>
      </c>
      <c r="U38" s="10" t="str">
        <f t="shared" si="12"/>
        <v>IsDeleted=false,</v>
      </c>
      <c r="V38" s="10" t="str">
        <f t="shared" si="13"/>
        <v>LastModifiedDate=null,</v>
      </c>
      <c r="W38" s="10" t="str">
        <f t="shared" si="14"/>
        <v>LastModifiedUserId=null</v>
      </c>
      <c r="X38" s="9" t="str">
        <f t="shared" ca="1" si="15"/>
        <v>Id=36,Title="باربادوس",ParentId=null,Guid=Guid.Parse("42D9A72F-D771-47F3-8016-21FCBA8FD5D4"),CreatedDate=new DateTime (2026,3,25,4,26,24),CreatedUserId=null,Description= "Created by seeding data",IsActive=true,IsDeleted=false,LastModifiedDate=null,LastModifiedUserId=null</v>
      </c>
      <c r="Y38" s="9" t="str">
        <f t="shared" ca="1" si="16"/>
        <v>new State{Id=36,Title="باربادوس",ParentId=null,Guid=Guid.Parse("42D9A72F-D771-47F3-8016-21FCBA8FD5D4"),CreatedDate=new DateTime (2026,3,25,4,26,24),CreatedUserId=null,Description= "Created by seeding data",IsActive=true,IsDeleted=false,LastModifiedDate=null,LastModifiedUserId=null},</v>
      </c>
    </row>
    <row r="39" spans="1:25" x14ac:dyDescent="0.5">
      <c r="A39" s="1" t="str">
        <f t="shared" si="0"/>
        <v>37,</v>
      </c>
      <c r="B39" s="1" t="s">
        <v>48</v>
      </c>
      <c r="C39" s="1" t="str">
        <f t="shared" si="1"/>
        <v>null,</v>
      </c>
      <c r="D39" s="1" t="s">
        <v>244</v>
      </c>
      <c r="E39" s="1" t="str">
        <f t="shared" ca="1" si="2"/>
        <v>new DateTime (2026,3,25,4,26,24),</v>
      </c>
      <c r="F39" s="1" t="str">
        <f t="shared" si="3"/>
        <v>null,</v>
      </c>
      <c r="G39" s="1" t="s">
        <v>207</v>
      </c>
      <c r="H39" s="1" t="str">
        <f t="shared" si="4"/>
        <v>true,</v>
      </c>
      <c r="I39" s="1" t="str">
        <f t="shared" si="5"/>
        <v>false,</v>
      </c>
      <c r="J39" s="1" t="str">
        <f t="shared" si="6"/>
        <v>null,</v>
      </c>
      <c r="K39" s="1" t="str">
        <f t="shared" si="7"/>
        <v>null</v>
      </c>
      <c r="L39" s="6"/>
      <c r="M39" s="10" t="str">
        <f>_xlfn.TEXTJOIN("=",FALSE,A$2,A39)</f>
        <v>Id=37,</v>
      </c>
      <c r="N39" s="10" t="str">
        <f>_xlfn.TEXTJOIN("=",FALSE,B$2,B39)</f>
        <v>Title="باهاما",</v>
      </c>
      <c r="O39" s="10" t="str">
        <f>_xlfn.TEXTJOIN("=",FALSE,C$2,C39)</f>
        <v>ParentId=null,</v>
      </c>
      <c r="P39" s="10" t="str">
        <f>_xlfn.TEXTJOIN("=",FALSE,D$2,D39)</f>
        <v>Guid=Guid.Parse("F01EA438-2B30-4193-B1BE-5F05E3564E7A"),</v>
      </c>
      <c r="Q39" s="10" t="str">
        <f t="shared" ca="1" si="8"/>
        <v>CreatedDate=new DateTime (2026,3,25,4,26,24),</v>
      </c>
      <c r="R39" s="10" t="str">
        <f t="shared" si="9"/>
        <v>CreatedUserId=null,</v>
      </c>
      <c r="S39" s="10" t="str">
        <f t="shared" si="10"/>
        <v>Description= "Created by seeding data",</v>
      </c>
      <c r="T39" s="10" t="str">
        <f t="shared" si="11"/>
        <v>IsActive=true,</v>
      </c>
      <c r="U39" s="10" t="str">
        <f t="shared" si="12"/>
        <v>IsDeleted=false,</v>
      </c>
      <c r="V39" s="10" t="str">
        <f t="shared" si="13"/>
        <v>LastModifiedDate=null,</v>
      </c>
      <c r="W39" s="10" t="str">
        <f t="shared" si="14"/>
        <v>LastModifiedUserId=null</v>
      </c>
      <c r="X39" s="9" t="str">
        <f t="shared" ca="1" si="15"/>
        <v>Id=37,Title="باهاما",ParentId=null,Guid=Guid.Parse("F01EA438-2B30-4193-B1BE-5F05E3564E7A"),CreatedDate=new DateTime (2026,3,25,4,26,24),CreatedUserId=null,Description= "Created by seeding data",IsActive=true,IsDeleted=false,LastModifiedDate=null,LastModifiedUserId=null</v>
      </c>
      <c r="Y39" s="9" t="str">
        <f t="shared" ca="1" si="16"/>
        <v>new State{Id=37,Title="باهاما",ParentId=null,Guid=Guid.Parse("F01EA438-2B30-4193-B1BE-5F05E3564E7A"),CreatedDate=new DateTime (2026,3,25,4,26,24),CreatedUserId=null,Description= "Created by seeding data",IsActive=true,IsDeleted=false,LastModifiedDate=null,LastModifiedUserId=null},</v>
      </c>
    </row>
    <row r="40" spans="1:25" x14ac:dyDescent="0.5">
      <c r="A40" s="1" t="str">
        <f t="shared" si="0"/>
        <v>38,</v>
      </c>
      <c r="B40" s="1" t="s">
        <v>49</v>
      </c>
      <c r="C40" s="1" t="str">
        <f t="shared" si="1"/>
        <v>null,</v>
      </c>
      <c r="D40" s="1" t="s">
        <v>245</v>
      </c>
      <c r="E40" s="1" t="str">
        <f t="shared" ca="1" si="2"/>
        <v>new DateTime (2026,3,25,4,26,24),</v>
      </c>
      <c r="F40" s="1" t="str">
        <f t="shared" si="3"/>
        <v>null,</v>
      </c>
      <c r="G40" s="1" t="s">
        <v>207</v>
      </c>
      <c r="H40" s="1" t="str">
        <f t="shared" si="4"/>
        <v>true,</v>
      </c>
      <c r="I40" s="1" t="str">
        <f t="shared" si="5"/>
        <v>false,</v>
      </c>
      <c r="J40" s="1" t="str">
        <f t="shared" si="6"/>
        <v>null,</v>
      </c>
      <c r="K40" s="1" t="str">
        <f t="shared" si="7"/>
        <v>null</v>
      </c>
      <c r="L40" s="6"/>
      <c r="M40" s="10" t="str">
        <f>_xlfn.TEXTJOIN("=",FALSE,A$2,A40)</f>
        <v>Id=38,</v>
      </c>
      <c r="N40" s="10" t="str">
        <f>_xlfn.TEXTJOIN("=",FALSE,B$2,B40)</f>
        <v>Title="بحرین",</v>
      </c>
      <c r="O40" s="10" t="str">
        <f>_xlfn.TEXTJOIN("=",FALSE,C$2,C40)</f>
        <v>ParentId=null,</v>
      </c>
      <c r="P40" s="10" t="str">
        <f>_xlfn.TEXTJOIN("=",FALSE,D$2,D40)</f>
        <v>Guid=Guid.Parse("82EFB60A-F6AC-4853-821F-DBA8D004D529"),</v>
      </c>
      <c r="Q40" s="10" t="str">
        <f t="shared" ca="1" si="8"/>
        <v>CreatedDate=new DateTime (2026,3,25,4,26,24),</v>
      </c>
      <c r="R40" s="10" t="str">
        <f t="shared" si="9"/>
        <v>CreatedUserId=null,</v>
      </c>
      <c r="S40" s="10" t="str">
        <f t="shared" si="10"/>
        <v>Description= "Created by seeding data",</v>
      </c>
      <c r="T40" s="10" t="str">
        <f t="shared" si="11"/>
        <v>IsActive=true,</v>
      </c>
      <c r="U40" s="10" t="str">
        <f t="shared" si="12"/>
        <v>IsDeleted=false,</v>
      </c>
      <c r="V40" s="10" t="str">
        <f t="shared" si="13"/>
        <v>LastModifiedDate=null,</v>
      </c>
      <c r="W40" s="10" t="str">
        <f t="shared" si="14"/>
        <v>LastModifiedUserId=null</v>
      </c>
      <c r="X40" s="9" t="str">
        <f t="shared" ca="1" si="15"/>
        <v>Id=38,Title="بحرین",ParentId=null,Guid=Guid.Parse("82EFB60A-F6AC-4853-821F-DBA8D004D529"),CreatedDate=new DateTime (2026,3,25,4,26,24),CreatedUserId=null,Description= "Created by seeding data",IsActive=true,IsDeleted=false,LastModifiedDate=null,LastModifiedUserId=null</v>
      </c>
      <c r="Y40" s="9" t="str">
        <f t="shared" ca="1" si="16"/>
        <v>new State{Id=38,Title="بحرین",ParentId=null,Guid=Guid.Parse("82EFB60A-F6AC-4853-821F-DBA8D004D529"),CreatedDate=new DateTime (2026,3,25,4,26,24),CreatedUserId=null,Description= "Created by seeding data",IsActive=true,IsDeleted=false,LastModifiedDate=null,LastModifiedUserId=null},</v>
      </c>
    </row>
    <row r="41" spans="1:25" x14ac:dyDescent="0.5">
      <c r="A41" s="1" t="str">
        <f t="shared" si="0"/>
        <v>39,</v>
      </c>
      <c r="B41" s="1" t="s">
        <v>50</v>
      </c>
      <c r="C41" s="1" t="str">
        <f t="shared" si="1"/>
        <v>null,</v>
      </c>
      <c r="D41" s="1" t="s">
        <v>246</v>
      </c>
      <c r="E41" s="1" t="str">
        <f t="shared" ca="1" si="2"/>
        <v>new DateTime (2026,3,25,4,26,24),</v>
      </c>
      <c r="F41" s="1" t="str">
        <f t="shared" si="3"/>
        <v>null,</v>
      </c>
      <c r="G41" s="1" t="s">
        <v>207</v>
      </c>
      <c r="H41" s="1" t="str">
        <f t="shared" si="4"/>
        <v>true,</v>
      </c>
      <c r="I41" s="1" t="str">
        <f t="shared" si="5"/>
        <v>false,</v>
      </c>
      <c r="J41" s="1" t="str">
        <f t="shared" si="6"/>
        <v>null,</v>
      </c>
      <c r="K41" s="1" t="str">
        <f t="shared" si="7"/>
        <v>null</v>
      </c>
      <c r="L41" s="6"/>
      <c r="M41" s="10" t="str">
        <f>_xlfn.TEXTJOIN("=",FALSE,A$2,A41)</f>
        <v>Id=39,</v>
      </c>
      <c r="N41" s="10" t="str">
        <f>_xlfn.TEXTJOIN("=",FALSE,B$2,B41)</f>
        <v>Title="برزیل",</v>
      </c>
      <c r="O41" s="10" t="str">
        <f>_xlfn.TEXTJOIN("=",FALSE,C$2,C41)</f>
        <v>ParentId=null,</v>
      </c>
      <c r="P41" s="10" t="str">
        <f>_xlfn.TEXTJOIN("=",FALSE,D$2,D41)</f>
        <v>Guid=Guid.Parse("974BE3E7-67D3-400B-8AEB-AE567300FB92"),</v>
      </c>
      <c r="Q41" s="10" t="str">
        <f t="shared" ca="1" si="8"/>
        <v>CreatedDate=new DateTime (2026,3,25,4,26,24),</v>
      </c>
      <c r="R41" s="10" t="str">
        <f t="shared" si="9"/>
        <v>CreatedUserId=null,</v>
      </c>
      <c r="S41" s="10" t="str">
        <f t="shared" si="10"/>
        <v>Description= "Created by seeding data",</v>
      </c>
      <c r="T41" s="10" t="str">
        <f t="shared" si="11"/>
        <v>IsActive=true,</v>
      </c>
      <c r="U41" s="10" t="str">
        <f t="shared" si="12"/>
        <v>IsDeleted=false,</v>
      </c>
      <c r="V41" s="10" t="str">
        <f t="shared" si="13"/>
        <v>LastModifiedDate=null,</v>
      </c>
      <c r="W41" s="10" t="str">
        <f t="shared" si="14"/>
        <v>LastModifiedUserId=null</v>
      </c>
      <c r="X41" s="9" t="str">
        <f t="shared" ca="1" si="15"/>
        <v>Id=39,Title="برزیل",ParentId=null,Guid=Guid.Parse("974BE3E7-67D3-400B-8AEB-AE567300FB92"),CreatedDate=new DateTime (2026,3,25,4,26,24),CreatedUserId=null,Description= "Created by seeding data",IsActive=true,IsDeleted=false,LastModifiedDate=null,LastModifiedUserId=null</v>
      </c>
      <c r="Y41" s="9" t="str">
        <f t="shared" ca="1" si="16"/>
        <v>new State{Id=39,Title="برزیل",ParentId=null,Guid=Guid.Parse("974BE3E7-67D3-400B-8AEB-AE567300FB92"),CreatedDate=new DateTime (2026,3,25,4,26,24),CreatedUserId=null,Description= "Created by seeding data",IsActive=true,IsDeleted=false,LastModifiedDate=null,LastModifiedUserId=null},</v>
      </c>
    </row>
    <row r="42" spans="1:25" x14ac:dyDescent="0.5">
      <c r="A42" s="1" t="str">
        <f t="shared" si="0"/>
        <v>40,</v>
      </c>
      <c r="B42" s="1" t="s">
        <v>51</v>
      </c>
      <c r="C42" s="1" t="str">
        <f t="shared" si="1"/>
        <v>null,</v>
      </c>
      <c r="D42" s="1" t="s">
        <v>247</v>
      </c>
      <c r="E42" s="1" t="str">
        <f t="shared" ca="1" si="2"/>
        <v>new DateTime (2026,3,25,4,26,24),</v>
      </c>
      <c r="F42" s="1" t="str">
        <f t="shared" si="3"/>
        <v>null,</v>
      </c>
      <c r="G42" s="1" t="s">
        <v>207</v>
      </c>
      <c r="H42" s="1" t="str">
        <f t="shared" si="4"/>
        <v>true,</v>
      </c>
      <c r="I42" s="1" t="str">
        <f t="shared" si="5"/>
        <v>false,</v>
      </c>
      <c r="J42" s="1" t="str">
        <f t="shared" si="6"/>
        <v>null,</v>
      </c>
      <c r="K42" s="1" t="str">
        <f t="shared" si="7"/>
        <v>null</v>
      </c>
      <c r="L42" s="6"/>
      <c r="M42" s="10" t="str">
        <f>_xlfn.TEXTJOIN("=",FALSE,A$2,A42)</f>
        <v>Id=40,</v>
      </c>
      <c r="N42" s="10" t="str">
        <f>_xlfn.TEXTJOIN("=",FALSE,B$2,B42)</f>
        <v>Title="برونئی",</v>
      </c>
      <c r="O42" s="10" t="str">
        <f>_xlfn.TEXTJOIN("=",FALSE,C$2,C42)</f>
        <v>ParentId=null,</v>
      </c>
      <c r="P42" s="10" t="str">
        <f>_xlfn.TEXTJOIN("=",FALSE,D$2,D42)</f>
        <v>Guid=Guid.Parse("D5154C2D-ADB1-49AE-A724-BE1B7A046D8F"),</v>
      </c>
      <c r="Q42" s="10" t="str">
        <f t="shared" ca="1" si="8"/>
        <v>CreatedDate=new DateTime (2026,3,25,4,26,24),</v>
      </c>
      <c r="R42" s="10" t="str">
        <f t="shared" si="9"/>
        <v>CreatedUserId=null,</v>
      </c>
      <c r="S42" s="10" t="str">
        <f t="shared" si="10"/>
        <v>Description= "Created by seeding data",</v>
      </c>
      <c r="T42" s="10" t="str">
        <f t="shared" si="11"/>
        <v>IsActive=true,</v>
      </c>
      <c r="U42" s="10" t="str">
        <f t="shared" si="12"/>
        <v>IsDeleted=false,</v>
      </c>
      <c r="V42" s="10" t="str">
        <f t="shared" si="13"/>
        <v>LastModifiedDate=null,</v>
      </c>
      <c r="W42" s="10" t="str">
        <f t="shared" si="14"/>
        <v>LastModifiedUserId=null</v>
      </c>
      <c r="X42" s="9" t="str">
        <f t="shared" ca="1" si="15"/>
        <v>Id=40,Title="برونئی",ParentId=null,Guid=Guid.Parse("D5154C2D-ADB1-49AE-A724-BE1B7A046D8F"),CreatedDate=new DateTime (2026,3,25,4,26,24),CreatedUserId=null,Description= "Created by seeding data",IsActive=true,IsDeleted=false,LastModifiedDate=null,LastModifiedUserId=null</v>
      </c>
      <c r="Y42" s="9" t="str">
        <f t="shared" ca="1" si="16"/>
        <v>new State{Id=40,Title="برونئی",ParentId=null,Guid=Guid.Parse("D5154C2D-ADB1-49AE-A724-BE1B7A046D8F"),CreatedDate=new DateTime (2026,3,25,4,26,24),CreatedUserId=null,Description= "Created by seeding data",IsActive=true,IsDeleted=false,LastModifiedDate=null,LastModifiedUserId=null},</v>
      </c>
    </row>
    <row r="43" spans="1:25" x14ac:dyDescent="0.5">
      <c r="A43" s="1" t="str">
        <f t="shared" si="0"/>
        <v>41,</v>
      </c>
      <c r="B43" s="1" t="s">
        <v>52</v>
      </c>
      <c r="C43" s="1" t="str">
        <f t="shared" si="1"/>
        <v>null,</v>
      </c>
      <c r="D43" s="1" t="s">
        <v>248</v>
      </c>
      <c r="E43" s="1" t="str">
        <f t="shared" ca="1" si="2"/>
        <v>new DateTime (2026,3,25,4,26,24),</v>
      </c>
      <c r="F43" s="1" t="str">
        <f t="shared" si="3"/>
        <v>null,</v>
      </c>
      <c r="G43" s="1" t="s">
        <v>207</v>
      </c>
      <c r="H43" s="1" t="str">
        <f t="shared" si="4"/>
        <v>true,</v>
      </c>
      <c r="I43" s="1" t="str">
        <f t="shared" si="5"/>
        <v>false,</v>
      </c>
      <c r="J43" s="1" t="str">
        <f t="shared" si="6"/>
        <v>null,</v>
      </c>
      <c r="K43" s="1" t="str">
        <f t="shared" si="7"/>
        <v>null</v>
      </c>
      <c r="L43" s="6"/>
      <c r="M43" s="10" t="str">
        <f>_xlfn.TEXTJOIN("=",FALSE,A$2,A43)</f>
        <v>Id=41,</v>
      </c>
      <c r="N43" s="10" t="str">
        <f>_xlfn.TEXTJOIN("=",FALSE,B$2,B43)</f>
        <v>Title="بریتانیا",</v>
      </c>
      <c r="O43" s="10" t="str">
        <f>_xlfn.TEXTJOIN("=",FALSE,C$2,C43)</f>
        <v>ParentId=null,</v>
      </c>
      <c r="P43" s="10" t="str">
        <f>_xlfn.TEXTJOIN("=",FALSE,D$2,D43)</f>
        <v>Guid=Guid.Parse("829BD688-6AB9-4F7A-9F55-F0E5BC075C48"),</v>
      </c>
      <c r="Q43" s="10" t="str">
        <f t="shared" ca="1" si="8"/>
        <v>CreatedDate=new DateTime (2026,3,25,4,26,24),</v>
      </c>
      <c r="R43" s="10" t="str">
        <f t="shared" si="9"/>
        <v>CreatedUserId=null,</v>
      </c>
      <c r="S43" s="10" t="str">
        <f t="shared" si="10"/>
        <v>Description= "Created by seeding data",</v>
      </c>
      <c r="T43" s="10" t="str">
        <f t="shared" si="11"/>
        <v>IsActive=true,</v>
      </c>
      <c r="U43" s="10" t="str">
        <f t="shared" si="12"/>
        <v>IsDeleted=false,</v>
      </c>
      <c r="V43" s="10" t="str">
        <f t="shared" si="13"/>
        <v>LastModifiedDate=null,</v>
      </c>
      <c r="W43" s="10" t="str">
        <f t="shared" si="14"/>
        <v>LastModifiedUserId=null</v>
      </c>
      <c r="X43" s="9" t="str">
        <f t="shared" ca="1" si="15"/>
        <v>Id=41,Title="بریتانیا",ParentId=null,Guid=Guid.Parse("829BD688-6AB9-4F7A-9F55-F0E5BC075C48"),CreatedDate=new DateTime (2026,3,25,4,26,24),CreatedUserId=null,Description= "Created by seeding data",IsActive=true,IsDeleted=false,LastModifiedDate=null,LastModifiedUserId=null</v>
      </c>
      <c r="Y43" s="9" t="str">
        <f t="shared" ca="1" si="16"/>
        <v>new State{Id=41,Title="بریتانیا",ParentId=null,Guid=Guid.Parse("829BD688-6AB9-4F7A-9F55-F0E5BC075C48"),CreatedDate=new DateTime (2026,3,25,4,26,24),CreatedUserId=null,Description= "Created by seeding data",IsActive=true,IsDeleted=false,LastModifiedDate=null,LastModifiedUserId=null},</v>
      </c>
    </row>
    <row r="44" spans="1:25" x14ac:dyDescent="0.5">
      <c r="A44" s="1" t="str">
        <f t="shared" si="0"/>
        <v>42,</v>
      </c>
      <c r="B44" s="1" t="s">
        <v>53</v>
      </c>
      <c r="C44" s="1" t="str">
        <f t="shared" si="1"/>
        <v>null,</v>
      </c>
      <c r="D44" s="1" t="s">
        <v>249</v>
      </c>
      <c r="E44" s="1" t="str">
        <f t="shared" ca="1" si="2"/>
        <v>new DateTime (2026,3,25,4,26,24),</v>
      </c>
      <c r="F44" s="1" t="str">
        <f t="shared" si="3"/>
        <v>null,</v>
      </c>
      <c r="G44" s="1" t="s">
        <v>207</v>
      </c>
      <c r="H44" s="1" t="str">
        <f t="shared" si="4"/>
        <v>true,</v>
      </c>
      <c r="I44" s="1" t="str">
        <f t="shared" si="5"/>
        <v>false,</v>
      </c>
      <c r="J44" s="1" t="str">
        <f t="shared" si="6"/>
        <v>null,</v>
      </c>
      <c r="K44" s="1" t="str">
        <f t="shared" si="7"/>
        <v>null</v>
      </c>
      <c r="L44" s="6"/>
      <c r="M44" s="10" t="str">
        <f>_xlfn.TEXTJOIN("=",FALSE,A$2,A44)</f>
        <v>Id=42,</v>
      </c>
      <c r="N44" s="10" t="str">
        <f>_xlfn.TEXTJOIN("=",FALSE,B$2,B44)</f>
        <v>Title="بلاروس",</v>
      </c>
      <c r="O44" s="10" t="str">
        <f>_xlfn.TEXTJOIN("=",FALSE,C$2,C44)</f>
        <v>ParentId=null,</v>
      </c>
      <c r="P44" s="10" t="str">
        <f>_xlfn.TEXTJOIN("=",FALSE,D$2,D44)</f>
        <v>Guid=Guid.Parse("44628EF5-1D76-49A6-95D7-00CC99E88EB0"),</v>
      </c>
      <c r="Q44" s="10" t="str">
        <f t="shared" ca="1" si="8"/>
        <v>CreatedDate=new DateTime (2026,3,25,4,26,24),</v>
      </c>
      <c r="R44" s="10" t="str">
        <f t="shared" si="9"/>
        <v>CreatedUserId=null,</v>
      </c>
      <c r="S44" s="10" t="str">
        <f t="shared" si="10"/>
        <v>Description= "Created by seeding data",</v>
      </c>
      <c r="T44" s="10" t="str">
        <f t="shared" si="11"/>
        <v>IsActive=true,</v>
      </c>
      <c r="U44" s="10" t="str">
        <f t="shared" si="12"/>
        <v>IsDeleted=false,</v>
      </c>
      <c r="V44" s="10" t="str">
        <f t="shared" si="13"/>
        <v>LastModifiedDate=null,</v>
      </c>
      <c r="W44" s="10" t="str">
        <f t="shared" si="14"/>
        <v>LastModifiedUserId=null</v>
      </c>
      <c r="X44" s="9" t="str">
        <f t="shared" ca="1" si="15"/>
        <v>Id=42,Title="بلاروس",ParentId=null,Guid=Guid.Parse("44628EF5-1D76-49A6-95D7-00CC99E88EB0"),CreatedDate=new DateTime (2026,3,25,4,26,24),CreatedUserId=null,Description= "Created by seeding data",IsActive=true,IsDeleted=false,LastModifiedDate=null,LastModifiedUserId=null</v>
      </c>
      <c r="Y44" s="9" t="str">
        <f t="shared" ca="1" si="16"/>
        <v>new State{Id=42,Title="بلاروس",ParentId=null,Guid=Guid.Parse("44628EF5-1D76-49A6-95D7-00CC99E88EB0"),CreatedDate=new DateTime (2026,3,25,4,26,24),CreatedUserId=null,Description= "Created by seeding data",IsActive=true,IsDeleted=false,LastModifiedDate=null,LastModifiedUserId=null},</v>
      </c>
    </row>
    <row r="45" spans="1:25" x14ac:dyDescent="0.5">
      <c r="A45" s="1" t="str">
        <f t="shared" si="0"/>
        <v>43,</v>
      </c>
      <c r="B45" s="1" t="s">
        <v>54</v>
      </c>
      <c r="C45" s="1" t="str">
        <f t="shared" si="1"/>
        <v>null,</v>
      </c>
      <c r="D45" s="1" t="s">
        <v>250</v>
      </c>
      <c r="E45" s="1" t="str">
        <f t="shared" ca="1" si="2"/>
        <v>new DateTime (2026,3,25,4,26,24),</v>
      </c>
      <c r="F45" s="1" t="str">
        <f t="shared" si="3"/>
        <v>null,</v>
      </c>
      <c r="G45" s="1" t="s">
        <v>207</v>
      </c>
      <c r="H45" s="1" t="str">
        <f t="shared" si="4"/>
        <v>true,</v>
      </c>
      <c r="I45" s="1" t="str">
        <f t="shared" si="5"/>
        <v>false,</v>
      </c>
      <c r="J45" s="1" t="str">
        <f t="shared" si="6"/>
        <v>null,</v>
      </c>
      <c r="K45" s="1" t="str">
        <f t="shared" si="7"/>
        <v>null</v>
      </c>
      <c r="L45" s="6"/>
      <c r="M45" s="10" t="str">
        <f>_xlfn.TEXTJOIN("=",FALSE,A$2,A45)</f>
        <v>Id=43,</v>
      </c>
      <c r="N45" s="10" t="str">
        <f>_xlfn.TEXTJOIN("=",FALSE,B$2,B45)</f>
        <v>Title="بلژیک",</v>
      </c>
      <c r="O45" s="10" t="str">
        <f>_xlfn.TEXTJOIN("=",FALSE,C$2,C45)</f>
        <v>ParentId=null,</v>
      </c>
      <c r="P45" s="10" t="str">
        <f>_xlfn.TEXTJOIN("=",FALSE,D$2,D45)</f>
        <v>Guid=Guid.Parse("08BCF714-3CB1-4803-9F05-E9726518D44E"),</v>
      </c>
      <c r="Q45" s="10" t="str">
        <f t="shared" ca="1" si="8"/>
        <v>CreatedDate=new DateTime (2026,3,25,4,26,24),</v>
      </c>
      <c r="R45" s="10" t="str">
        <f t="shared" si="9"/>
        <v>CreatedUserId=null,</v>
      </c>
      <c r="S45" s="10" t="str">
        <f t="shared" si="10"/>
        <v>Description= "Created by seeding data",</v>
      </c>
      <c r="T45" s="10" t="str">
        <f t="shared" si="11"/>
        <v>IsActive=true,</v>
      </c>
      <c r="U45" s="10" t="str">
        <f t="shared" si="12"/>
        <v>IsDeleted=false,</v>
      </c>
      <c r="V45" s="10" t="str">
        <f t="shared" si="13"/>
        <v>LastModifiedDate=null,</v>
      </c>
      <c r="W45" s="10" t="str">
        <f t="shared" si="14"/>
        <v>LastModifiedUserId=null</v>
      </c>
      <c r="X45" s="9" t="str">
        <f t="shared" ca="1" si="15"/>
        <v>Id=43,Title="بلژیک",ParentId=null,Guid=Guid.Parse("08BCF714-3CB1-4803-9F05-E9726518D44E"),CreatedDate=new DateTime (2026,3,25,4,26,24),CreatedUserId=null,Description= "Created by seeding data",IsActive=true,IsDeleted=false,LastModifiedDate=null,LastModifiedUserId=null</v>
      </c>
      <c r="Y45" s="9" t="str">
        <f t="shared" ca="1" si="16"/>
        <v>new State{Id=43,Title="بلژیک",ParentId=null,Guid=Guid.Parse("08BCF714-3CB1-4803-9F05-E9726518D44E"),CreatedDate=new DateTime (2026,3,25,4,26,24),CreatedUserId=null,Description= "Created by seeding data",IsActive=true,IsDeleted=false,LastModifiedDate=null,LastModifiedUserId=null},</v>
      </c>
    </row>
    <row r="46" spans="1:25" x14ac:dyDescent="0.5">
      <c r="A46" s="1" t="str">
        <f t="shared" si="0"/>
        <v>44,</v>
      </c>
      <c r="B46" s="1" t="s">
        <v>55</v>
      </c>
      <c r="C46" s="1" t="str">
        <f t="shared" si="1"/>
        <v>null,</v>
      </c>
      <c r="D46" s="1" t="s">
        <v>251</v>
      </c>
      <c r="E46" s="1" t="str">
        <f t="shared" ca="1" si="2"/>
        <v>new DateTime (2026,3,25,4,26,24),</v>
      </c>
      <c r="F46" s="1" t="str">
        <f t="shared" si="3"/>
        <v>null,</v>
      </c>
      <c r="G46" s="1" t="s">
        <v>207</v>
      </c>
      <c r="H46" s="1" t="str">
        <f t="shared" si="4"/>
        <v>true,</v>
      </c>
      <c r="I46" s="1" t="str">
        <f t="shared" si="5"/>
        <v>false,</v>
      </c>
      <c r="J46" s="1" t="str">
        <f t="shared" si="6"/>
        <v>null,</v>
      </c>
      <c r="K46" s="1" t="str">
        <f t="shared" si="7"/>
        <v>null</v>
      </c>
      <c r="L46" s="6"/>
      <c r="M46" s="10" t="str">
        <f>_xlfn.TEXTJOIN("=",FALSE,A$2,A46)</f>
        <v>Id=44,</v>
      </c>
      <c r="N46" s="10" t="str">
        <f>_xlfn.TEXTJOIN("=",FALSE,B$2,B46)</f>
        <v>Title="بلغارستان",</v>
      </c>
      <c r="O46" s="10" t="str">
        <f>_xlfn.TEXTJOIN("=",FALSE,C$2,C46)</f>
        <v>ParentId=null,</v>
      </c>
      <c r="P46" s="10" t="str">
        <f>_xlfn.TEXTJOIN("=",FALSE,D$2,D46)</f>
        <v>Guid=Guid.Parse("574A74A2-382B-4E9F-81FE-D7CFD1090CF5"),</v>
      </c>
      <c r="Q46" s="10" t="str">
        <f t="shared" ca="1" si="8"/>
        <v>CreatedDate=new DateTime (2026,3,25,4,26,24),</v>
      </c>
      <c r="R46" s="10" t="str">
        <f t="shared" si="9"/>
        <v>CreatedUserId=null,</v>
      </c>
      <c r="S46" s="10" t="str">
        <f t="shared" si="10"/>
        <v>Description= "Created by seeding data",</v>
      </c>
      <c r="T46" s="10" t="str">
        <f t="shared" si="11"/>
        <v>IsActive=true,</v>
      </c>
      <c r="U46" s="10" t="str">
        <f t="shared" si="12"/>
        <v>IsDeleted=false,</v>
      </c>
      <c r="V46" s="10" t="str">
        <f t="shared" si="13"/>
        <v>LastModifiedDate=null,</v>
      </c>
      <c r="W46" s="10" t="str">
        <f t="shared" si="14"/>
        <v>LastModifiedUserId=null</v>
      </c>
      <c r="X46" s="9" t="str">
        <f t="shared" ca="1" si="15"/>
        <v>Id=44,Title="بلغارستان",ParentId=null,Guid=Guid.Parse("574A74A2-382B-4E9F-81FE-D7CFD1090CF5"),CreatedDate=new DateTime (2026,3,25,4,26,24),CreatedUserId=null,Description= "Created by seeding data",IsActive=true,IsDeleted=false,LastModifiedDate=null,LastModifiedUserId=null</v>
      </c>
      <c r="Y46" s="9" t="str">
        <f t="shared" ca="1" si="16"/>
        <v>new State{Id=44,Title="بلغارستان",ParentId=null,Guid=Guid.Parse("574A74A2-382B-4E9F-81FE-D7CFD1090CF5"),CreatedDate=new DateTime (2026,3,25,4,26,24),CreatedUserId=null,Description= "Created by seeding data",IsActive=true,IsDeleted=false,LastModifiedDate=null,LastModifiedUserId=null},</v>
      </c>
    </row>
    <row r="47" spans="1:25" x14ac:dyDescent="0.5">
      <c r="A47" s="1" t="str">
        <f t="shared" si="0"/>
        <v>45,</v>
      </c>
      <c r="B47" s="1" t="s">
        <v>56</v>
      </c>
      <c r="C47" s="1" t="str">
        <f t="shared" si="1"/>
        <v>null,</v>
      </c>
      <c r="D47" s="1" t="s">
        <v>252</v>
      </c>
      <c r="E47" s="1" t="str">
        <f t="shared" ca="1" si="2"/>
        <v>new DateTime (2026,3,25,4,26,24),</v>
      </c>
      <c r="F47" s="1" t="str">
        <f t="shared" si="3"/>
        <v>null,</v>
      </c>
      <c r="G47" s="1" t="s">
        <v>207</v>
      </c>
      <c r="H47" s="1" t="str">
        <f t="shared" si="4"/>
        <v>true,</v>
      </c>
      <c r="I47" s="1" t="str">
        <f t="shared" si="5"/>
        <v>false,</v>
      </c>
      <c r="J47" s="1" t="str">
        <f t="shared" si="6"/>
        <v>null,</v>
      </c>
      <c r="K47" s="1" t="str">
        <f t="shared" si="7"/>
        <v>null</v>
      </c>
      <c r="L47" s="6"/>
      <c r="M47" s="10" t="str">
        <f>_xlfn.TEXTJOIN("=",FALSE,A$2,A47)</f>
        <v>Id=45,</v>
      </c>
      <c r="N47" s="10" t="str">
        <f>_xlfn.TEXTJOIN("=",FALSE,B$2,B47)</f>
        <v>Title="بلیز",</v>
      </c>
      <c r="O47" s="10" t="str">
        <f>_xlfn.TEXTJOIN("=",FALSE,C$2,C47)</f>
        <v>ParentId=null,</v>
      </c>
      <c r="P47" s="10" t="str">
        <f>_xlfn.TEXTJOIN("=",FALSE,D$2,D47)</f>
        <v>Guid=Guid.Parse("A94285BF-710A-4CEC-BB66-1B15A1B46C5F"),</v>
      </c>
      <c r="Q47" s="10" t="str">
        <f t="shared" ca="1" si="8"/>
        <v>CreatedDate=new DateTime (2026,3,25,4,26,24),</v>
      </c>
      <c r="R47" s="10" t="str">
        <f t="shared" si="9"/>
        <v>CreatedUserId=null,</v>
      </c>
      <c r="S47" s="10" t="str">
        <f t="shared" si="10"/>
        <v>Description= "Created by seeding data",</v>
      </c>
      <c r="T47" s="10" t="str">
        <f t="shared" si="11"/>
        <v>IsActive=true,</v>
      </c>
      <c r="U47" s="10" t="str">
        <f t="shared" si="12"/>
        <v>IsDeleted=false,</v>
      </c>
      <c r="V47" s="10" t="str">
        <f t="shared" si="13"/>
        <v>LastModifiedDate=null,</v>
      </c>
      <c r="W47" s="10" t="str">
        <f t="shared" si="14"/>
        <v>LastModifiedUserId=null</v>
      </c>
      <c r="X47" s="9" t="str">
        <f t="shared" ca="1" si="15"/>
        <v>Id=45,Title="بلیز",ParentId=null,Guid=Guid.Parse("A94285BF-710A-4CEC-BB66-1B15A1B46C5F"),CreatedDate=new DateTime (2026,3,25,4,26,24),CreatedUserId=null,Description= "Created by seeding data",IsActive=true,IsDeleted=false,LastModifiedDate=null,LastModifiedUserId=null</v>
      </c>
      <c r="Y47" s="9" t="str">
        <f t="shared" ca="1" si="16"/>
        <v>new State{Id=45,Title="بلیز",ParentId=null,Guid=Guid.Parse("A94285BF-710A-4CEC-BB66-1B15A1B46C5F"),CreatedDate=new DateTime (2026,3,25,4,26,24),CreatedUserId=null,Description= "Created by seeding data",IsActive=true,IsDeleted=false,LastModifiedDate=null,LastModifiedUserId=null},</v>
      </c>
    </row>
    <row r="48" spans="1:25" x14ac:dyDescent="0.5">
      <c r="A48" s="1" t="str">
        <f t="shared" si="0"/>
        <v>46,</v>
      </c>
      <c r="B48" s="1" t="s">
        <v>57</v>
      </c>
      <c r="C48" s="1" t="str">
        <f t="shared" si="1"/>
        <v>null,</v>
      </c>
      <c r="D48" s="1" t="s">
        <v>253</v>
      </c>
      <c r="E48" s="1" t="str">
        <f t="shared" ca="1" si="2"/>
        <v>new DateTime (2026,3,25,4,26,24),</v>
      </c>
      <c r="F48" s="1" t="str">
        <f t="shared" si="3"/>
        <v>null,</v>
      </c>
      <c r="G48" s="1" t="s">
        <v>207</v>
      </c>
      <c r="H48" s="1" t="str">
        <f t="shared" si="4"/>
        <v>true,</v>
      </c>
      <c r="I48" s="1" t="str">
        <f t="shared" si="5"/>
        <v>false,</v>
      </c>
      <c r="J48" s="1" t="str">
        <f t="shared" si="6"/>
        <v>null,</v>
      </c>
      <c r="K48" s="1" t="str">
        <f t="shared" si="7"/>
        <v>null</v>
      </c>
      <c r="L48" s="6"/>
      <c r="M48" s="10" t="str">
        <f>_xlfn.TEXTJOIN("=",FALSE,A$2,A48)</f>
        <v>Id=46,</v>
      </c>
      <c r="N48" s="10" t="str">
        <f>_xlfn.TEXTJOIN("=",FALSE,B$2,B48)</f>
        <v>Title="بنگلادش",</v>
      </c>
      <c r="O48" s="10" t="str">
        <f>_xlfn.TEXTJOIN("=",FALSE,C$2,C48)</f>
        <v>ParentId=null,</v>
      </c>
      <c r="P48" s="10" t="str">
        <f>_xlfn.TEXTJOIN("=",FALSE,D$2,D48)</f>
        <v>Guid=Guid.Parse("E6996240-D921-4818-B630-5678C06216BB"),</v>
      </c>
      <c r="Q48" s="10" t="str">
        <f t="shared" ca="1" si="8"/>
        <v>CreatedDate=new DateTime (2026,3,25,4,26,24),</v>
      </c>
      <c r="R48" s="10" t="str">
        <f t="shared" si="9"/>
        <v>CreatedUserId=null,</v>
      </c>
      <c r="S48" s="10" t="str">
        <f t="shared" si="10"/>
        <v>Description= "Created by seeding data",</v>
      </c>
      <c r="T48" s="10" t="str">
        <f t="shared" si="11"/>
        <v>IsActive=true,</v>
      </c>
      <c r="U48" s="10" t="str">
        <f t="shared" si="12"/>
        <v>IsDeleted=false,</v>
      </c>
      <c r="V48" s="10" t="str">
        <f t="shared" si="13"/>
        <v>LastModifiedDate=null,</v>
      </c>
      <c r="W48" s="10" t="str">
        <f t="shared" si="14"/>
        <v>LastModifiedUserId=null</v>
      </c>
      <c r="X48" s="9" t="str">
        <f t="shared" ca="1" si="15"/>
        <v>Id=46,Title="بنگلادش",ParentId=null,Guid=Guid.Parse("E6996240-D921-4818-B630-5678C06216BB"),CreatedDate=new DateTime (2026,3,25,4,26,24),CreatedUserId=null,Description= "Created by seeding data",IsActive=true,IsDeleted=false,LastModifiedDate=null,LastModifiedUserId=null</v>
      </c>
      <c r="Y48" s="9" t="str">
        <f t="shared" ca="1" si="16"/>
        <v>new State{Id=46,Title="بنگلادش",ParentId=null,Guid=Guid.Parse("E6996240-D921-4818-B630-5678C06216BB"),CreatedDate=new DateTime (2026,3,25,4,26,24),CreatedUserId=null,Description= "Created by seeding data",IsActive=true,IsDeleted=false,LastModifiedDate=null,LastModifiedUserId=null},</v>
      </c>
    </row>
    <row r="49" spans="1:28" x14ac:dyDescent="0.5">
      <c r="A49" s="1" t="str">
        <f t="shared" si="0"/>
        <v>47,</v>
      </c>
      <c r="B49" s="1" t="s">
        <v>58</v>
      </c>
      <c r="C49" s="1" t="str">
        <f t="shared" si="1"/>
        <v>null,</v>
      </c>
      <c r="D49" s="1" t="s">
        <v>254</v>
      </c>
      <c r="E49" s="1" t="str">
        <f t="shared" ca="1" si="2"/>
        <v>new DateTime (2026,3,25,4,26,24),</v>
      </c>
      <c r="F49" s="1" t="str">
        <f t="shared" si="3"/>
        <v>null,</v>
      </c>
      <c r="G49" s="1" t="s">
        <v>207</v>
      </c>
      <c r="H49" s="1" t="str">
        <f t="shared" si="4"/>
        <v>true,</v>
      </c>
      <c r="I49" s="1" t="str">
        <f t="shared" si="5"/>
        <v>false,</v>
      </c>
      <c r="J49" s="1" t="str">
        <f t="shared" si="6"/>
        <v>null,</v>
      </c>
      <c r="K49" s="1" t="str">
        <f t="shared" si="7"/>
        <v>null</v>
      </c>
      <c r="L49" s="6"/>
      <c r="M49" s="10" t="str">
        <f>_xlfn.TEXTJOIN("=",FALSE,A$2,A49)</f>
        <v>Id=47,</v>
      </c>
      <c r="N49" s="10" t="str">
        <f>_xlfn.TEXTJOIN("=",FALSE,B$2,B49)</f>
        <v>Title="بنین",</v>
      </c>
      <c r="O49" s="10" t="str">
        <f>_xlfn.TEXTJOIN("=",FALSE,C$2,C49)</f>
        <v>ParentId=null,</v>
      </c>
      <c r="P49" s="10" t="str">
        <f>_xlfn.TEXTJOIN("=",FALSE,D$2,D49)</f>
        <v>Guid=Guid.Parse("7B1B225A-6BB6-4017-8804-98208B6DAB93"),</v>
      </c>
      <c r="Q49" s="10" t="str">
        <f t="shared" ca="1" si="8"/>
        <v>CreatedDate=new DateTime (2026,3,25,4,26,24),</v>
      </c>
      <c r="R49" s="10" t="str">
        <f t="shared" si="9"/>
        <v>CreatedUserId=null,</v>
      </c>
      <c r="S49" s="10" t="str">
        <f t="shared" si="10"/>
        <v>Description= "Created by seeding data",</v>
      </c>
      <c r="T49" s="10" t="str">
        <f t="shared" si="11"/>
        <v>IsActive=true,</v>
      </c>
      <c r="U49" s="10" t="str">
        <f t="shared" si="12"/>
        <v>IsDeleted=false,</v>
      </c>
      <c r="V49" s="10" t="str">
        <f t="shared" si="13"/>
        <v>LastModifiedDate=null,</v>
      </c>
      <c r="W49" s="10" t="str">
        <f t="shared" si="14"/>
        <v>LastModifiedUserId=null</v>
      </c>
      <c r="X49" s="9" t="str">
        <f t="shared" ca="1" si="15"/>
        <v>Id=47,Title="بنین",ParentId=null,Guid=Guid.Parse("7B1B225A-6BB6-4017-8804-98208B6DAB93"),CreatedDate=new DateTime (2026,3,25,4,26,24),CreatedUserId=null,Description= "Created by seeding data",IsActive=true,IsDeleted=false,LastModifiedDate=null,LastModifiedUserId=null</v>
      </c>
      <c r="Y49" s="9" t="str">
        <f t="shared" ca="1" si="16"/>
        <v>new State{Id=47,Title="بنین",ParentId=null,Guid=Guid.Parse("7B1B225A-6BB6-4017-8804-98208B6DAB93"),CreatedDate=new DateTime (2026,3,25,4,26,24),CreatedUserId=null,Description= "Created by seeding data",IsActive=true,IsDeleted=false,LastModifiedDate=null,LastModifiedUserId=null},</v>
      </c>
    </row>
    <row r="50" spans="1:28" x14ac:dyDescent="0.5">
      <c r="A50" s="1" t="str">
        <f t="shared" si="0"/>
        <v>48,</v>
      </c>
      <c r="B50" s="1" t="s">
        <v>59</v>
      </c>
      <c r="C50" s="1" t="str">
        <f t="shared" si="1"/>
        <v>null,</v>
      </c>
      <c r="D50" s="1" t="s">
        <v>255</v>
      </c>
      <c r="E50" s="1" t="str">
        <f t="shared" ca="1" si="2"/>
        <v>new DateTime (2026,3,25,4,26,24),</v>
      </c>
      <c r="F50" s="1" t="str">
        <f t="shared" si="3"/>
        <v>null,</v>
      </c>
      <c r="G50" s="1" t="s">
        <v>207</v>
      </c>
      <c r="H50" s="1" t="str">
        <f t="shared" si="4"/>
        <v>true,</v>
      </c>
      <c r="I50" s="1" t="str">
        <f t="shared" si="5"/>
        <v>false,</v>
      </c>
      <c r="J50" s="1" t="str">
        <f t="shared" si="6"/>
        <v>null,</v>
      </c>
      <c r="K50" s="1" t="str">
        <f t="shared" si="7"/>
        <v>null</v>
      </c>
      <c r="L50" s="6"/>
      <c r="M50" s="10" t="str">
        <f>_xlfn.TEXTJOIN("=",FALSE,A$2,A50)</f>
        <v>Id=48,</v>
      </c>
      <c r="N50" s="10" t="str">
        <f>_xlfn.TEXTJOIN("=",FALSE,B$2,B50)</f>
        <v>Title="بوتان",</v>
      </c>
      <c r="O50" s="10" t="str">
        <f>_xlfn.TEXTJOIN("=",FALSE,C$2,C50)</f>
        <v>ParentId=null,</v>
      </c>
      <c r="P50" s="10" t="str">
        <f>_xlfn.TEXTJOIN("=",FALSE,D$2,D50)</f>
        <v>Guid=Guid.Parse("9BCF9C3E-148D-4624-9D6F-4C75E8A80AE5"),</v>
      </c>
      <c r="Q50" s="10" t="str">
        <f t="shared" ca="1" si="8"/>
        <v>CreatedDate=new DateTime (2026,3,25,4,26,24),</v>
      </c>
      <c r="R50" s="10" t="str">
        <f t="shared" si="9"/>
        <v>CreatedUserId=null,</v>
      </c>
      <c r="S50" s="10" t="str">
        <f t="shared" si="10"/>
        <v>Description= "Created by seeding data",</v>
      </c>
      <c r="T50" s="10" t="str">
        <f t="shared" si="11"/>
        <v>IsActive=true,</v>
      </c>
      <c r="U50" s="10" t="str">
        <f t="shared" si="12"/>
        <v>IsDeleted=false,</v>
      </c>
      <c r="V50" s="10" t="str">
        <f t="shared" si="13"/>
        <v>LastModifiedDate=null,</v>
      </c>
      <c r="W50" s="10" t="str">
        <f t="shared" si="14"/>
        <v>LastModifiedUserId=null</v>
      </c>
      <c r="X50" s="9" t="str">
        <f t="shared" ca="1" si="15"/>
        <v>Id=48,Title="بوتان",ParentId=null,Guid=Guid.Parse("9BCF9C3E-148D-4624-9D6F-4C75E8A80AE5"),CreatedDate=new DateTime (2026,3,25,4,26,24),CreatedUserId=null,Description= "Created by seeding data",IsActive=true,IsDeleted=false,LastModifiedDate=null,LastModifiedUserId=null</v>
      </c>
      <c r="Y50" s="9" t="str">
        <f t="shared" ca="1" si="16"/>
        <v>new State{Id=48,Title="بوتان",ParentId=null,Guid=Guid.Parse("9BCF9C3E-148D-4624-9D6F-4C75E8A80AE5"),CreatedDate=new DateTime (2026,3,25,4,26,24),CreatedUserId=null,Description= "Created by seeding data",IsActive=true,IsDeleted=false,LastModifiedDate=null,LastModifiedUserId=null},</v>
      </c>
    </row>
    <row r="51" spans="1:28" x14ac:dyDescent="0.5">
      <c r="A51" s="1" t="str">
        <f t="shared" si="0"/>
        <v>49,</v>
      </c>
      <c r="B51" s="1" t="s">
        <v>60</v>
      </c>
      <c r="C51" s="1" t="str">
        <f t="shared" si="1"/>
        <v>null,</v>
      </c>
      <c r="D51" s="1" t="s">
        <v>256</v>
      </c>
      <c r="E51" s="1" t="str">
        <f t="shared" ca="1" si="2"/>
        <v>new DateTime (2026,3,25,4,26,24),</v>
      </c>
      <c r="F51" s="1" t="str">
        <f t="shared" si="3"/>
        <v>null,</v>
      </c>
      <c r="G51" s="1" t="s">
        <v>207</v>
      </c>
      <c r="H51" s="1" t="str">
        <f t="shared" si="4"/>
        <v>true,</v>
      </c>
      <c r="I51" s="1" t="str">
        <f t="shared" si="5"/>
        <v>false,</v>
      </c>
      <c r="J51" s="1" t="str">
        <f t="shared" si="6"/>
        <v>null,</v>
      </c>
      <c r="K51" s="1" t="str">
        <f t="shared" si="7"/>
        <v>null</v>
      </c>
      <c r="L51" s="6"/>
      <c r="M51" s="10" t="str">
        <f>_xlfn.TEXTJOIN("=",FALSE,A$2,A51)</f>
        <v>Id=49,</v>
      </c>
      <c r="N51" s="10" t="str">
        <f>_xlfn.TEXTJOIN("=",FALSE,B$2,B51)</f>
        <v>Title="بوتسوانا",</v>
      </c>
      <c r="O51" s="10" t="str">
        <f>_xlfn.TEXTJOIN("=",FALSE,C$2,C51)</f>
        <v>ParentId=null,</v>
      </c>
      <c r="P51" s="10" t="str">
        <f>_xlfn.TEXTJOIN("=",FALSE,D$2,D51)</f>
        <v>Guid=Guid.Parse("C5983511-8F11-49E8-9178-3A20301FC3D9"),</v>
      </c>
      <c r="Q51" s="10" t="str">
        <f t="shared" ca="1" si="8"/>
        <v>CreatedDate=new DateTime (2026,3,25,4,26,24),</v>
      </c>
      <c r="R51" s="10" t="str">
        <f t="shared" si="9"/>
        <v>CreatedUserId=null,</v>
      </c>
      <c r="S51" s="10" t="str">
        <f t="shared" si="10"/>
        <v>Description= "Created by seeding data",</v>
      </c>
      <c r="T51" s="10" t="str">
        <f t="shared" si="11"/>
        <v>IsActive=true,</v>
      </c>
      <c r="U51" s="10" t="str">
        <f t="shared" si="12"/>
        <v>IsDeleted=false,</v>
      </c>
      <c r="V51" s="10" t="str">
        <f t="shared" si="13"/>
        <v>LastModifiedDate=null,</v>
      </c>
      <c r="W51" s="10" t="str">
        <f t="shared" si="14"/>
        <v>LastModifiedUserId=null</v>
      </c>
      <c r="X51" s="9" t="str">
        <f t="shared" ca="1" si="15"/>
        <v>Id=49,Title="بوتسوانا",ParentId=null,Guid=Guid.Parse("C5983511-8F11-49E8-9178-3A20301FC3D9"),CreatedDate=new DateTime (2026,3,25,4,26,24),CreatedUserId=null,Description= "Created by seeding data",IsActive=true,IsDeleted=false,LastModifiedDate=null,LastModifiedUserId=null</v>
      </c>
      <c r="Y51" s="9" t="str">
        <f t="shared" ca="1" si="16"/>
        <v>new State{Id=49,Title="بوتسوانا",ParentId=null,Guid=Guid.Parse("C5983511-8F11-49E8-9178-3A20301FC3D9"),CreatedDate=new DateTime (2026,3,25,4,26,24),CreatedUserId=null,Description= "Created by seeding data",IsActive=true,IsDeleted=false,LastModifiedDate=null,LastModifiedUserId=null},</v>
      </c>
    </row>
    <row r="52" spans="1:28" x14ac:dyDescent="0.5">
      <c r="A52" s="1" t="str">
        <f t="shared" si="0"/>
        <v>50,</v>
      </c>
      <c r="B52" s="1" t="s">
        <v>61</v>
      </c>
      <c r="C52" s="1" t="str">
        <f t="shared" si="1"/>
        <v>null,</v>
      </c>
      <c r="D52" s="1" t="s">
        <v>257</v>
      </c>
      <c r="E52" s="1" t="str">
        <f t="shared" ca="1" si="2"/>
        <v>new DateTime (2026,3,25,4,26,24),</v>
      </c>
      <c r="F52" s="1" t="str">
        <f t="shared" si="3"/>
        <v>null,</v>
      </c>
      <c r="G52" s="1" t="s">
        <v>207</v>
      </c>
      <c r="H52" s="1" t="str">
        <f t="shared" si="4"/>
        <v>true,</v>
      </c>
      <c r="I52" s="1" t="str">
        <f t="shared" si="5"/>
        <v>false,</v>
      </c>
      <c r="J52" s="1" t="str">
        <f t="shared" si="6"/>
        <v>null,</v>
      </c>
      <c r="K52" s="1" t="str">
        <f t="shared" si="7"/>
        <v>null</v>
      </c>
      <c r="L52" s="6"/>
      <c r="M52" s="10" t="str">
        <f>_xlfn.TEXTJOIN("=",FALSE,A$2,A52)</f>
        <v>Id=50,</v>
      </c>
      <c r="N52" s="10" t="str">
        <f>_xlfn.TEXTJOIN("=",FALSE,B$2,B52)</f>
        <v>Title="بورکینافاسو",</v>
      </c>
      <c r="O52" s="10" t="str">
        <f>_xlfn.TEXTJOIN("=",FALSE,C$2,C52)</f>
        <v>ParentId=null,</v>
      </c>
      <c r="P52" s="10" t="str">
        <f>_xlfn.TEXTJOIN("=",FALSE,D$2,D52)</f>
        <v>Guid=Guid.Parse("FD8F07C4-4E44-4D05-9BDE-261217EF4E5D"),</v>
      </c>
      <c r="Q52" s="10" t="str">
        <f t="shared" ca="1" si="8"/>
        <v>CreatedDate=new DateTime (2026,3,25,4,26,24),</v>
      </c>
      <c r="R52" s="10" t="str">
        <f t="shared" si="9"/>
        <v>CreatedUserId=null,</v>
      </c>
      <c r="S52" s="10" t="str">
        <f t="shared" si="10"/>
        <v>Description= "Created by seeding data",</v>
      </c>
      <c r="T52" s="10" t="str">
        <f t="shared" si="11"/>
        <v>IsActive=true,</v>
      </c>
      <c r="U52" s="10" t="str">
        <f t="shared" si="12"/>
        <v>IsDeleted=false,</v>
      </c>
      <c r="V52" s="10" t="str">
        <f t="shared" si="13"/>
        <v>LastModifiedDate=null,</v>
      </c>
      <c r="W52" s="10" t="str">
        <f t="shared" si="14"/>
        <v>LastModifiedUserId=null</v>
      </c>
      <c r="X52" s="9" t="str">
        <f t="shared" ca="1" si="15"/>
        <v>Id=50,Title="بورکینافاسو",ParentId=null,Guid=Guid.Parse("FD8F07C4-4E44-4D05-9BDE-261217EF4E5D"),CreatedDate=new DateTime (2026,3,25,4,26,24),CreatedUserId=null,Description= "Created by seeding data",IsActive=true,IsDeleted=false,LastModifiedDate=null,LastModifiedUserId=null</v>
      </c>
      <c r="Y52" s="9" t="str">
        <f t="shared" ca="1" si="16"/>
        <v>new State{Id=50,Title="بورکینافاسو",ParentId=null,Guid=Guid.Parse("FD8F07C4-4E44-4D05-9BDE-261217EF4E5D"),CreatedDate=new DateTime (2026,3,25,4,26,24),CreatedUserId=null,Description= "Created by seeding data",IsActive=true,IsDeleted=false,LastModifiedDate=null,LastModifiedUserId=null},</v>
      </c>
      <c r="AB52" s="8"/>
    </row>
    <row r="53" spans="1:28" x14ac:dyDescent="0.5">
      <c r="A53" s="1" t="str">
        <f t="shared" si="0"/>
        <v>51,</v>
      </c>
      <c r="B53" s="1" t="s">
        <v>62</v>
      </c>
      <c r="C53" s="1" t="str">
        <f t="shared" si="1"/>
        <v>null,</v>
      </c>
      <c r="D53" s="1" t="s">
        <v>258</v>
      </c>
      <c r="E53" s="1" t="str">
        <f t="shared" ca="1" si="2"/>
        <v>new DateTime (2026,3,25,4,26,24),</v>
      </c>
      <c r="F53" s="1" t="str">
        <f t="shared" si="3"/>
        <v>null,</v>
      </c>
      <c r="G53" s="1" t="s">
        <v>207</v>
      </c>
      <c r="H53" s="1" t="str">
        <f t="shared" si="4"/>
        <v>true,</v>
      </c>
      <c r="I53" s="1" t="str">
        <f t="shared" si="5"/>
        <v>false,</v>
      </c>
      <c r="J53" s="1" t="str">
        <f t="shared" si="6"/>
        <v>null,</v>
      </c>
      <c r="K53" s="1" t="str">
        <f t="shared" si="7"/>
        <v>null</v>
      </c>
      <c r="L53" s="6"/>
      <c r="M53" s="10" t="str">
        <f>_xlfn.TEXTJOIN("=",FALSE,A$2,A53)</f>
        <v>Id=51,</v>
      </c>
      <c r="N53" s="10" t="str">
        <f>_xlfn.TEXTJOIN("=",FALSE,B$2,B53)</f>
        <v>Title="بوروندی",</v>
      </c>
      <c r="O53" s="10" t="str">
        <f>_xlfn.TEXTJOIN("=",FALSE,C$2,C53)</f>
        <v>ParentId=null,</v>
      </c>
      <c r="P53" s="10" t="str">
        <f>_xlfn.TEXTJOIN("=",FALSE,D$2,D53)</f>
        <v>Guid=Guid.Parse("CF0BCA8D-8E40-4DC2-A942-98E820630AFB"),</v>
      </c>
      <c r="Q53" s="10" t="str">
        <f t="shared" ca="1" si="8"/>
        <v>CreatedDate=new DateTime (2026,3,25,4,26,24),</v>
      </c>
      <c r="R53" s="10" t="str">
        <f t="shared" si="9"/>
        <v>CreatedUserId=null,</v>
      </c>
      <c r="S53" s="10" t="str">
        <f t="shared" si="10"/>
        <v>Description= "Created by seeding data",</v>
      </c>
      <c r="T53" s="10" t="str">
        <f t="shared" si="11"/>
        <v>IsActive=true,</v>
      </c>
      <c r="U53" s="10" t="str">
        <f t="shared" si="12"/>
        <v>IsDeleted=false,</v>
      </c>
      <c r="V53" s="10" t="str">
        <f t="shared" si="13"/>
        <v>LastModifiedDate=null,</v>
      </c>
      <c r="W53" s="10" t="str">
        <f t="shared" si="14"/>
        <v>LastModifiedUserId=null</v>
      </c>
      <c r="X53" s="9" t="str">
        <f t="shared" ca="1" si="15"/>
        <v>Id=51,Title="بوروندی",ParentId=null,Guid=Guid.Parse("CF0BCA8D-8E40-4DC2-A942-98E820630AFB"),CreatedDate=new DateTime (2026,3,25,4,26,24),CreatedUserId=null,Description= "Created by seeding data",IsActive=true,IsDeleted=false,LastModifiedDate=null,LastModifiedUserId=null</v>
      </c>
      <c r="Y53" s="9" t="str">
        <f t="shared" ca="1" si="16"/>
        <v>new State{Id=51,Title="بوروندی",ParentId=null,Guid=Guid.Parse("CF0BCA8D-8E40-4DC2-A942-98E820630AFB"),CreatedDate=new DateTime (2026,3,25,4,26,24),CreatedUserId=null,Description= "Created by seeding data",IsActive=true,IsDeleted=false,LastModifiedDate=null,LastModifiedUserId=null},</v>
      </c>
    </row>
    <row r="54" spans="1:28" x14ac:dyDescent="0.5">
      <c r="A54" s="1" t="str">
        <f t="shared" si="0"/>
        <v>52,</v>
      </c>
      <c r="B54" s="1" t="s">
        <v>63</v>
      </c>
      <c r="C54" s="1" t="str">
        <f t="shared" si="1"/>
        <v>null,</v>
      </c>
      <c r="D54" s="1" t="s">
        <v>259</v>
      </c>
      <c r="E54" s="1" t="str">
        <f t="shared" ca="1" si="2"/>
        <v>new DateTime (2026,3,25,4,26,24),</v>
      </c>
      <c r="F54" s="1" t="str">
        <f t="shared" si="3"/>
        <v>null,</v>
      </c>
      <c r="G54" s="1" t="s">
        <v>207</v>
      </c>
      <c r="H54" s="1" t="str">
        <f t="shared" si="4"/>
        <v>true,</v>
      </c>
      <c r="I54" s="1" t="str">
        <f t="shared" si="5"/>
        <v>false,</v>
      </c>
      <c r="J54" s="1" t="str">
        <f t="shared" si="6"/>
        <v>null,</v>
      </c>
      <c r="K54" s="1" t="str">
        <f t="shared" si="7"/>
        <v>null</v>
      </c>
      <c r="L54" s="6"/>
      <c r="M54" s="10" t="str">
        <f>_xlfn.TEXTJOIN("=",FALSE,A$2,A54)</f>
        <v>Id=52,</v>
      </c>
      <c r="N54" s="10" t="str">
        <f>_xlfn.TEXTJOIN("=",FALSE,B$2,B54)</f>
        <v>Title="بوسنی و هرزگوین",</v>
      </c>
      <c r="O54" s="10" t="str">
        <f>_xlfn.TEXTJOIN("=",FALSE,C$2,C54)</f>
        <v>ParentId=null,</v>
      </c>
      <c r="P54" s="10" t="str">
        <f>_xlfn.TEXTJOIN("=",FALSE,D$2,D54)</f>
        <v>Guid=Guid.Parse("F5396C20-3743-478D-B17C-D82F07FCA587"),</v>
      </c>
      <c r="Q54" s="10" t="str">
        <f t="shared" ca="1" si="8"/>
        <v>CreatedDate=new DateTime (2026,3,25,4,26,24),</v>
      </c>
      <c r="R54" s="10" t="str">
        <f t="shared" si="9"/>
        <v>CreatedUserId=null,</v>
      </c>
      <c r="S54" s="10" t="str">
        <f t="shared" si="10"/>
        <v>Description= "Created by seeding data",</v>
      </c>
      <c r="T54" s="10" t="str">
        <f t="shared" si="11"/>
        <v>IsActive=true,</v>
      </c>
      <c r="U54" s="10" t="str">
        <f t="shared" si="12"/>
        <v>IsDeleted=false,</v>
      </c>
      <c r="V54" s="10" t="str">
        <f t="shared" si="13"/>
        <v>LastModifiedDate=null,</v>
      </c>
      <c r="W54" s="10" t="str">
        <f t="shared" si="14"/>
        <v>LastModifiedUserId=null</v>
      </c>
      <c r="X54" s="9" t="str">
        <f t="shared" ca="1" si="15"/>
        <v>Id=52,Title="بوسنی و هرزگوین",ParentId=null,Guid=Guid.Parse("F5396C20-3743-478D-B17C-D82F07FCA587"),CreatedDate=new DateTime (2026,3,25,4,26,24),CreatedUserId=null,Description= "Created by seeding data",IsActive=true,IsDeleted=false,LastModifiedDate=null,LastModifiedUserId=null</v>
      </c>
      <c r="Y54" s="9" t="str">
        <f t="shared" ca="1" si="16"/>
        <v>new State{Id=52,Title="بوسنی و هرزگوین",ParentId=null,Guid=Guid.Parse("F5396C20-3743-478D-B17C-D82F07FCA587"),CreatedDate=new DateTime (2026,3,25,4,26,24),CreatedUserId=null,Description= "Created by seeding data",IsActive=true,IsDeleted=false,LastModifiedDate=null,LastModifiedUserId=null},</v>
      </c>
    </row>
    <row r="55" spans="1:28" x14ac:dyDescent="0.5">
      <c r="A55" s="1" t="str">
        <f t="shared" si="0"/>
        <v>53,</v>
      </c>
      <c r="B55" s="1" t="s">
        <v>64</v>
      </c>
      <c r="C55" s="1" t="str">
        <f t="shared" si="1"/>
        <v>null,</v>
      </c>
      <c r="D55" s="1" t="s">
        <v>260</v>
      </c>
      <c r="E55" s="1" t="str">
        <f t="shared" ca="1" si="2"/>
        <v>new DateTime (2026,3,25,4,26,24),</v>
      </c>
      <c r="F55" s="1" t="str">
        <f t="shared" si="3"/>
        <v>null,</v>
      </c>
      <c r="G55" s="1" t="s">
        <v>207</v>
      </c>
      <c r="H55" s="1" t="str">
        <f t="shared" si="4"/>
        <v>true,</v>
      </c>
      <c r="I55" s="1" t="str">
        <f t="shared" si="5"/>
        <v>false,</v>
      </c>
      <c r="J55" s="1" t="str">
        <f t="shared" si="6"/>
        <v>null,</v>
      </c>
      <c r="K55" s="1" t="str">
        <f t="shared" si="7"/>
        <v>null</v>
      </c>
      <c r="L55" s="6"/>
      <c r="M55" s="10" t="str">
        <f>_xlfn.TEXTJOIN("=",FALSE,A$2,A55)</f>
        <v>Id=53,</v>
      </c>
      <c r="N55" s="10" t="str">
        <f>_xlfn.TEXTJOIN("=",FALSE,B$2,B55)</f>
        <v>Title="بولیوی",</v>
      </c>
      <c r="O55" s="10" t="str">
        <f>_xlfn.TEXTJOIN("=",FALSE,C$2,C55)</f>
        <v>ParentId=null,</v>
      </c>
      <c r="P55" s="10" t="str">
        <f>_xlfn.TEXTJOIN("=",FALSE,D$2,D55)</f>
        <v>Guid=Guid.Parse("69BA38F9-903A-49EC-B928-8B41DC10B474"),</v>
      </c>
      <c r="Q55" s="10" t="str">
        <f t="shared" ca="1" si="8"/>
        <v>CreatedDate=new DateTime (2026,3,25,4,26,24),</v>
      </c>
      <c r="R55" s="10" t="str">
        <f t="shared" si="9"/>
        <v>CreatedUserId=null,</v>
      </c>
      <c r="S55" s="10" t="str">
        <f t="shared" si="10"/>
        <v>Description= "Created by seeding data",</v>
      </c>
      <c r="T55" s="10" t="str">
        <f t="shared" si="11"/>
        <v>IsActive=true,</v>
      </c>
      <c r="U55" s="10" t="str">
        <f t="shared" si="12"/>
        <v>IsDeleted=false,</v>
      </c>
      <c r="V55" s="10" t="str">
        <f t="shared" si="13"/>
        <v>LastModifiedDate=null,</v>
      </c>
      <c r="W55" s="10" t="str">
        <f t="shared" si="14"/>
        <v>LastModifiedUserId=null</v>
      </c>
      <c r="X55" s="9" t="str">
        <f t="shared" ca="1" si="15"/>
        <v>Id=53,Title="بولیوی",ParentId=null,Guid=Guid.Parse("69BA38F9-903A-49EC-B928-8B41DC10B474"),CreatedDate=new DateTime (2026,3,25,4,26,24),CreatedUserId=null,Description= "Created by seeding data",IsActive=true,IsDeleted=false,LastModifiedDate=null,LastModifiedUserId=null</v>
      </c>
      <c r="Y55" s="9" t="str">
        <f t="shared" ca="1" si="16"/>
        <v>new State{Id=53,Title="بولیوی",ParentId=null,Guid=Guid.Parse("69BA38F9-903A-49EC-B928-8B41DC10B474"),CreatedDate=new DateTime (2026,3,25,4,26,24),CreatedUserId=null,Description= "Created by seeding data",IsActive=true,IsDeleted=false,LastModifiedDate=null,LastModifiedUserId=null},</v>
      </c>
    </row>
    <row r="56" spans="1:28" x14ac:dyDescent="0.5">
      <c r="A56" s="1" t="str">
        <f t="shared" si="0"/>
        <v>54,</v>
      </c>
      <c r="B56" s="1" t="s">
        <v>65</v>
      </c>
      <c r="C56" s="1" t="str">
        <f t="shared" si="1"/>
        <v>null,</v>
      </c>
      <c r="D56" s="1" t="s">
        <v>261</v>
      </c>
      <c r="E56" s="1" t="str">
        <f t="shared" ca="1" si="2"/>
        <v>new DateTime (2026,3,25,4,26,24),</v>
      </c>
      <c r="F56" s="1" t="str">
        <f t="shared" si="3"/>
        <v>null,</v>
      </c>
      <c r="G56" s="1" t="s">
        <v>207</v>
      </c>
      <c r="H56" s="1" t="str">
        <f t="shared" si="4"/>
        <v>true,</v>
      </c>
      <c r="I56" s="1" t="str">
        <f t="shared" si="5"/>
        <v>false,</v>
      </c>
      <c r="J56" s="1" t="str">
        <f t="shared" si="6"/>
        <v>null,</v>
      </c>
      <c r="K56" s="1" t="str">
        <f t="shared" si="7"/>
        <v>null</v>
      </c>
      <c r="L56" s="6"/>
      <c r="M56" s="10" t="str">
        <f>_xlfn.TEXTJOIN("=",FALSE,A$2,A56)</f>
        <v>Id=54,</v>
      </c>
      <c r="N56" s="10" t="str">
        <f>_xlfn.TEXTJOIN("=",FALSE,B$2,B56)</f>
        <v>Title="پاپوآ گینه نو",</v>
      </c>
      <c r="O56" s="10" t="str">
        <f>_xlfn.TEXTJOIN("=",FALSE,C$2,C56)</f>
        <v>ParentId=null,</v>
      </c>
      <c r="P56" s="10" t="str">
        <f>_xlfn.TEXTJOIN("=",FALSE,D$2,D56)</f>
        <v>Guid=Guid.Parse("0EF730EC-93A9-46DC-8AC0-30E6033062DF"),</v>
      </c>
      <c r="Q56" s="10" t="str">
        <f t="shared" ca="1" si="8"/>
        <v>CreatedDate=new DateTime (2026,3,25,4,26,24),</v>
      </c>
      <c r="R56" s="10" t="str">
        <f t="shared" si="9"/>
        <v>CreatedUserId=null,</v>
      </c>
      <c r="S56" s="10" t="str">
        <f t="shared" si="10"/>
        <v>Description= "Created by seeding data",</v>
      </c>
      <c r="T56" s="10" t="str">
        <f t="shared" si="11"/>
        <v>IsActive=true,</v>
      </c>
      <c r="U56" s="10" t="str">
        <f t="shared" si="12"/>
        <v>IsDeleted=false,</v>
      </c>
      <c r="V56" s="10" t="str">
        <f t="shared" si="13"/>
        <v>LastModifiedDate=null,</v>
      </c>
      <c r="W56" s="10" t="str">
        <f t="shared" si="14"/>
        <v>LastModifiedUserId=null</v>
      </c>
      <c r="X56" s="9" t="str">
        <f t="shared" ca="1" si="15"/>
        <v>Id=54,Title="پاپوآ گینه نو",ParentId=null,Guid=Guid.Parse("0EF730EC-93A9-46DC-8AC0-30E6033062DF"),CreatedDate=new DateTime (2026,3,25,4,26,24),CreatedUserId=null,Description= "Created by seeding data",IsActive=true,IsDeleted=false,LastModifiedDate=null,LastModifiedUserId=null</v>
      </c>
      <c r="Y56" s="9" t="str">
        <f t="shared" ca="1" si="16"/>
        <v>new State{Id=54,Title="پاپوآ گینه نو",ParentId=null,Guid=Guid.Parse("0EF730EC-93A9-46DC-8AC0-30E6033062DF"),CreatedDate=new DateTime (2026,3,25,4,26,24),CreatedUserId=null,Description= "Created by seeding data",IsActive=true,IsDeleted=false,LastModifiedDate=null,LastModifiedUserId=null},</v>
      </c>
    </row>
    <row r="57" spans="1:28" x14ac:dyDescent="0.5">
      <c r="A57" s="1" t="str">
        <f t="shared" si="0"/>
        <v>55,</v>
      </c>
      <c r="B57" s="1" t="s">
        <v>66</v>
      </c>
      <c r="C57" s="1" t="str">
        <f t="shared" si="1"/>
        <v>null,</v>
      </c>
      <c r="D57" s="1" t="s">
        <v>262</v>
      </c>
      <c r="E57" s="1" t="str">
        <f t="shared" ca="1" si="2"/>
        <v>new DateTime (2026,3,25,4,26,24),</v>
      </c>
      <c r="F57" s="1" t="str">
        <f t="shared" si="3"/>
        <v>null,</v>
      </c>
      <c r="G57" s="1" t="s">
        <v>207</v>
      </c>
      <c r="H57" s="1" t="str">
        <f t="shared" si="4"/>
        <v>true,</v>
      </c>
      <c r="I57" s="1" t="str">
        <f t="shared" si="5"/>
        <v>false,</v>
      </c>
      <c r="J57" s="1" t="str">
        <f t="shared" si="6"/>
        <v>null,</v>
      </c>
      <c r="K57" s="1" t="str">
        <f t="shared" si="7"/>
        <v>null</v>
      </c>
      <c r="L57" s="6"/>
      <c r="M57" s="10" t="str">
        <f>_xlfn.TEXTJOIN("=",FALSE,A$2,A57)</f>
        <v>Id=55,</v>
      </c>
      <c r="N57" s="10" t="str">
        <f>_xlfn.TEXTJOIN("=",FALSE,B$2,B57)</f>
        <v>Title="پاراگوئه",</v>
      </c>
      <c r="O57" s="10" t="str">
        <f>_xlfn.TEXTJOIN("=",FALSE,C$2,C57)</f>
        <v>ParentId=null,</v>
      </c>
      <c r="P57" s="10" t="str">
        <f>_xlfn.TEXTJOIN("=",FALSE,D$2,D57)</f>
        <v>Guid=Guid.Parse("B8AC1FF0-C692-4282-9F13-94629CAFDABF"),</v>
      </c>
      <c r="Q57" s="10" t="str">
        <f t="shared" ca="1" si="8"/>
        <v>CreatedDate=new DateTime (2026,3,25,4,26,24),</v>
      </c>
      <c r="R57" s="10" t="str">
        <f t="shared" si="9"/>
        <v>CreatedUserId=null,</v>
      </c>
      <c r="S57" s="10" t="str">
        <f t="shared" si="10"/>
        <v>Description= "Created by seeding data",</v>
      </c>
      <c r="T57" s="10" t="str">
        <f t="shared" si="11"/>
        <v>IsActive=true,</v>
      </c>
      <c r="U57" s="10" t="str">
        <f t="shared" si="12"/>
        <v>IsDeleted=false,</v>
      </c>
      <c r="V57" s="10" t="str">
        <f t="shared" si="13"/>
        <v>LastModifiedDate=null,</v>
      </c>
      <c r="W57" s="10" t="str">
        <f t="shared" si="14"/>
        <v>LastModifiedUserId=null</v>
      </c>
      <c r="X57" s="9" t="str">
        <f t="shared" ca="1" si="15"/>
        <v>Id=55,Title="پاراگوئه",ParentId=null,Guid=Guid.Parse("B8AC1FF0-C692-4282-9F13-94629CAFDABF"),CreatedDate=new DateTime (2026,3,25,4,26,24),CreatedUserId=null,Description= "Created by seeding data",IsActive=true,IsDeleted=false,LastModifiedDate=null,LastModifiedUserId=null</v>
      </c>
      <c r="Y57" s="9" t="str">
        <f t="shared" ca="1" si="16"/>
        <v>new State{Id=55,Title="پاراگوئه",ParentId=null,Guid=Guid.Parse("B8AC1FF0-C692-4282-9F13-94629CAFDABF"),CreatedDate=new DateTime (2026,3,25,4,26,24),CreatedUserId=null,Description= "Created by seeding data",IsActive=true,IsDeleted=false,LastModifiedDate=null,LastModifiedUserId=null},</v>
      </c>
    </row>
    <row r="58" spans="1:28" x14ac:dyDescent="0.5">
      <c r="A58" s="1" t="str">
        <f t="shared" si="0"/>
        <v>56,</v>
      </c>
      <c r="B58" s="1" t="s">
        <v>67</v>
      </c>
      <c r="C58" s="1" t="str">
        <f t="shared" si="1"/>
        <v>null,</v>
      </c>
      <c r="D58" s="1" t="s">
        <v>263</v>
      </c>
      <c r="E58" s="1" t="str">
        <f t="shared" ca="1" si="2"/>
        <v>new DateTime (2026,3,25,4,26,24),</v>
      </c>
      <c r="F58" s="1" t="str">
        <f t="shared" si="3"/>
        <v>null,</v>
      </c>
      <c r="G58" s="1" t="s">
        <v>207</v>
      </c>
      <c r="H58" s="1" t="str">
        <f t="shared" si="4"/>
        <v>true,</v>
      </c>
      <c r="I58" s="1" t="str">
        <f t="shared" si="5"/>
        <v>false,</v>
      </c>
      <c r="J58" s="1" t="str">
        <f t="shared" si="6"/>
        <v>null,</v>
      </c>
      <c r="K58" s="1" t="str">
        <f t="shared" si="7"/>
        <v>null</v>
      </c>
      <c r="L58" s="6"/>
      <c r="M58" s="10" t="str">
        <f>_xlfn.TEXTJOIN("=",FALSE,A$2,A58)</f>
        <v>Id=56,</v>
      </c>
      <c r="N58" s="10" t="str">
        <f>_xlfn.TEXTJOIN("=",FALSE,B$2,B58)</f>
        <v>Title="پاکستان",</v>
      </c>
      <c r="O58" s="10" t="str">
        <f>_xlfn.TEXTJOIN("=",FALSE,C$2,C58)</f>
        <v>ParentId=null,</v>
      </c>
      <c r="P58" s="10" t="str">
        <f>_xlfn.TEXTJOIN("=",FALSE,D$2,D58)</f>
        <v>Guid=Guid.Parse("E172A0CC-CBE3-4720-9C00-4AE61BDC7824"),</v>
      </c>
      <c r="Q58" s="10" t="str">
        <f t="shared" ca="1" si="8"/>
        <v>CreatedDate=new DateTime (2026,3,25,4,26,24),</v>
      </c>
      <c r="R58" s="10" t="str">
        <f t="shared" si="9"/>
        <v>CreatedUserId=null,</v>
      </c>
      <c r="S58" s="10" t="str">
        <f t="shared" si="10"/>
        <v>Description= "Created by seeding data",</v>
      </c>
      <c r="T58" s="10" t="str">
        <f t="shared" si="11"/>
        <v>IsActive=true,</v>
      </c>
      <c r="U58" s="10" t="str">
        <f t="shared" si="12"/>
        <v>IsDeleted=false,</v>
      </c>
      <c r="V58" s="10" t="str">
        <f t="shared" si="13"/>
        <v>LastModifiedDate=null,</v>
      </c>
      <c r="W58" s="10" t="str">
        <f t="shared" si="14"/>
        <v>LastModifiedUserId=null</v>
      </c>
      <c r="X58" s="9" t="str">
        <f t="shared" ca="1" si="15"/>
        <v>Id=56,Title="پاکستان",ParentId=null,Guid=Guid.Parse("E172A0CC-CBE3-4720-9C00-4AE61BDC7824"),CreatedDate=new DateTime (2026,3,25,4,26,24),CreatedUserId=null,Description= "Created by seeding data",IsActive=true,IsDeleted=false,LastModifiedDate=null,LastModifiedUserId=null</v>
      </c>
      <c r="Y58" s="9" t="str">
        <f t="shared" ca="1" si="16"/>
        <v>new State{Id=56,Title="پاکستان",ParentId=null,Guid=Guid.Parse("E172A0CC-CBE3-4720-9C00-4AE61BDC7824"),CreatedDate=new DateTime (2026,3,25,4,26,24),CreatedUserId=null,Description= "Created by seeding data",IsActive=true,IsDeleted=false,LastModifiedDate=null,LastModifiedUserId=null},</v>
      </c>
    </row>
    <row r="59" spans="1:28" x14ac:dyDescent="0.5">
      <c r="A59" s="1" t="str">
        <f t="shared" si="0"/>
        <v>57,</v>
      </c>
      <c r="B59" s="1" t="s">
        <v>68</v>
      </c>
      <c r="C59" s="1" t="str">
        <f t="shared" si="1"/>
        <v>null,</v>
      </c>
      <c r="D59" s="1" t="s">
        <v>264</v>
      </c>
      <c r="E59" s="1" t="str">
        <f t="shared" ca="1" si="2"/>
        <v>new DateTime (2026,3,25,4,26,24),</v>
      </c>
      <c r="F59" s="1" t="str">
        <f t="shared" si="3"/>
        <v>null,</v>
      </c>
      <c r="G59" s="1" t="s">
        <v>207</v>
      </c>
      <c r="H59" s="1" t="str">
        <f t="shared" si="4"/>
        <v>true,</v>
      </c>
      <c r="I59" s="1" t="str">
        <f t="shared" si="5"/>
        <v>false,</v>
      </c>
      <c r="J59" s="1" t="str">
        <f t="shared" si="6"/>
        <v>null,</v>
      </c>
      <c r="K59" s="1" t="str">
        <f t="shared" si="7"/>
        <v>null</v>
      </c>
      <c r="L59" s="6"/>
      <c r="M59" s="10" t="str">
        <f>_xlfn.TEXTJOIN("=",FALSE,A$2,A59)</f>
        <v>Id=57,</v>
      </c>
      <c r="N59" s="10" t="str">
        <f>_xlfn.TEXTJOIN("=",FALSE,B$2,B59)</f>
        <v>Title="پالائو",</v>
      </c>
      <c r="O59" s="10" t="str">
        <f>_xlfn.TEXTJOIN("=",FALSE,C$2,C59)</f>
        <v>ParentId=null,</v>
      </c>
      <c r="P59" s="10" t="str">
        <f>_xlfn.TEXTJOIN("=",FALSE,D$2,D59)</f>
        <v>Guid=Guid.Parse("E4BDE8DD-6AC8-417C-809F-458DE1A157EF"),</v>
      </c>
      <c r="Q59" s="10" t="str">
        <f t="shared" ca="1" si="8"/>
        <v>CreatedDate=new DateTime (2026,3,25,4,26,24),</v>
      </c>
      <c r="R59" s="10" t="str">
        <f t="shared" si="9"/>
        <v>CreatedUserId=null,</v>
      </c>
      <c r="S59" s="10" t="str">
        <f t="shared" si="10"/>
        <v>Description= "Created by seeding data",</v>
      </c>
      <c r="T59" s="10" t="str">
        <f t="shared" si="11"/>
        <v>IsActive=true,</v>
      </c>
      <c r="U59" s="10" t="str">
        <f t="shared" si="12"/>
        <v>IsDeleted=false,</v>
      </c>
      <c r="V59" s="10" t="str">
        <f t="shared" si="13"/>
        <v>LastModifiedDate=null,</v>
      </c>
      <c r="W59" s="10" t="str">
        <f t="shared" si="14"/>
        <v>LastModifiedUserId=null</v>
      </c>
      <c r="X59" s="9" t="str">
        <f t="shared" ca="1" si="15"/>
        <v>Id=57,Title="پالائو",ParentId=null,Guid=Guid.Parse("E4BDE8DD-6AC8-417C-809F-458DE1A157EF"),CreatedDate=new DateTime (2026,3,25,4,26,24),CreatedUserId=null,Description= "Created by seeding data",IsActive=true,IsDeleted=false,LastModifiedDate=null,LastModifiedUserId=null</v>
      </c>
      <c r="Y59" s="9" t="str">
        <f t="shared" ca="1" si="16"/>
        <v>new State{Id=57,Title="پالائو",ParentId=null,Guid=Guid.Parse("E4BDE8DD-6AC8-417C-809F-458DE1A157EF"),CreatedDate=new DateTime (2026,3,25,4,26,24),CreatedUserId=null,Description= "Created by seeding data",IsActive=true,IsDeleted=false,LastModifiedDate=null,LastModifiedUserId=null},</v>
      </c>
    </row>
    <row r="60" spans="1:28" x14ac:dyDescent="0.5">
      <c r="A60" s="1" t="str">
        <f t="shared" si="0"/>
        <v>58,</v>
      </c>
      <c r="B60" s="1" t="s">
        <v>69</v>
      </c>
      <c r="C60" s="1" t="str">
        <f t="shared" si="1"/>
        <v>null,</v>
      </c>
      <c r="D60" s="1" t="s">
        <v>265</v>
      </c>
      <c r="E60" s="1" t="str">
        <f t="shared" ca="1" si="2"/>
        <v>new DateTime (2026,3,25,4,26,24),</v>
      </c>
      <c r="F60" s="1" t="str">
        <f t="shared" si="3"/>
        <v>null,</v>
      </c>
      <c r="G60" s="1" t="s">
        <v>207</v>
      </c>
      <c r="H60" s="1" t="str">
        <f t="shared" si="4"/>
        <v>true,</v>
      </c>
      <c r="I60" s="1" t="str">
        <f t="shared" si="5"/>
        <v>false,</v>
      </c>
      <c r="J60" s="1" t="str">
        <f t="shared" si="6"/>
        <v>null,</v>
      </c>
      <c r="K60" s="1" t="str">
        <f t="shared" si="7"/>
        <v>null</v>
      </c>
      <c r="L60" s="6"/>
      <c r="M60" s="10" t="str">
        <f>_xlfn.TEXTJOIN("=",FALSE,A$2,A60)</f>
        <v>Id=58,</v>
      </c>
      <c r="N60" s="10" t="str">
        <f>_xlfn.TEXTJOIN("=",FALSE,B$2,B60)</f>
        <v>Title="پاناما",</v>
      </c>
      <c r="O60" s="10" t="str">
        <f>_xlfn.TEXTJOIN("=",FALSE,C$2,C60)</f>
        <v>ParentId=null,</v>
      </c>
      <c r="P60" s="10" t="str">
        <f>_xlfn.TEXTJOIN("=",FALSE,D$2,D60)</f>
        <v>Guid=Guid.Parse("6583B2B9-B0DF-4B4F-8BA4-5307BACF9247"),</v>
      </c>
      <c r="Q60" s="10" t="str">
        <f t="shared" ca="1" si="8"/>
        <v>CreatedDate=new DateTime (2026,3,25,4,26,24),</v>
      </c>
      <c r="R60" s="10" t="str">
        <f t="shared" si="9"/>
        <v>CreatedUserId=null,</v>
      </c>
      <c r="S60" s="10" t="str">
        <f t="shared" si="10"/>
        <v>Description= "Created by seeding data",</v>
      </c>
      <c r="T60" s="10" t="str">
        <f t="shared" si="11"/>
        <v>IsActive=true,</v>
      </c>
      <c r="U60" s="10" t="str">
        <f t="shared" si="12"/>
        <v>IsDeleted=false,</v>
      </c>
      <c r="V60" s="10" t="str">
        <f t="shared" si="13"/>
        <v>LastModifiedDate=null,</v>
      </c>
      <c r="W60" s="10" t="str">
        <f t="shared" si="14"/>
        <v>LastModifiedUserId=null</v>
      </c>
      <c r="X60" s="9" t="str">
        <f t="shared" ca="1" si="15"/>
        <v>Id=58,Title="پاناما",ParentId=null,Guid=Guid.Parse("6583B2B9-B0DF-4B4F-8BA4-5307BACF9247"),CreatedDate=new DateTime (2026,3,25,4,26,24),CreatedUserId=null,Description= "Created by seeding data",IsActive=true,IsDeleted=false,LastModifiedDate=null,LastModifiedUserId=null</v>
      </c>
      <c r="Y60" s="9" t="str">
        <f t="shared" ca="1" si="16"/>
        <v>new State{Id=58,Title="پاناما",ParentId=null,Guid=Guid.Parse("6583B2B9-B0DF-4B4F-8BA4-5307BACF9247"),CreatedDate=new DateTime (2026,3,25,4,26,24),CreatedUserId=null,Description= "Created by seeding data",IsActive=true,IsDeleted=false,LastModifiedDate=null,LastModifiedUserId=null},</v>
      </c>
    </row>
    <row r="61" spans="1:28" x14ac:dyDescent="0.5">
      <c r="A61" s="1" t="str">
        <f t="shared" si="0"/>
        <v>59,</v>
      </c>
      <c r="B61" s="1" t="s">
        <v>70</v>
      </c>
      <c r="C61" s="1" t="str">
        <f t="shared" si="1"/>
        <v>null,</v>
      </c>
      <c r="D61" s="1" t="s">
        <v>266</v>
      </c>
      <c r="E61" s="1" t="str">
        <f t="shared" ca="1" si="2"/>
        <v>new DateTime (2026,3,25,4,26,24),</v>
      </c>
      <c r="F61" s="1" t="str">
        <f t="shared" si="3"/>
        <v>null,</v>
      </c>
      <c r="G61" s="1" t="s">
        <v>207</v>
      </c>
      <c r="H61" s="1" t="str">
        <f t="shared" si="4"/>
        <v>true,</v>
      </c>
      <c r="I61" s="1" t="str">
        <f t="shared" si="5"/>
        <v>false,</v>
      </c>
      <c r="J61" s="1" t="str">
        <f t="shared" si="6"/>
        <v>null,</v>
      </c>
      <c r="K61" s="1" t="str">
        <f t="shared" si="7"/>
        <v>null</v>
      </c>
      <c r="L61" s="6"/>
      <c r="M61" s="10" t="str">
        <f>_xlfn.TEXTJOIN("=",FALSE,A$2,A61)</f>
        <v>Id=59,</v>
      </c>
      <c r="N61" s="10" t="str">
        <f>_xlfn.TEXTJOIN("=",FALSE,B$2,B61)</f>
        <v>Title="پرتغال",</v>
      </c>
      <c r="O61" s="10" t="str">
        <f>_xlfn.TEXTJOIN("=",FALSE,C$2,C61)</f>
        <v>ParentId=null,</v>
      </c>
      <c r="P61" s="10" t="str">
        <f>_xlfn.TEXTJOIN("=",FALSE,D$2,D61)</f>
        <v>Guid=Guid.Parse("16AB9E30-4B32-4F2E-9068-BF5487B498A1"),</v>
      </c>
      <c r="Q61" s="10" t="str">
        <f t="shared" ca="1" si="8"/>
        <v>CreatedDate=new DateTime (2026,3,25,4,26,24),</v>
      </c>
      <c r="R61" s="10" t="str">
        <f t="shared" si="9"/>
        <v>CreatedUserId=null,</v>
      </c>
      <c r="S61" s="10" t="str">
        <f t="shared" si="10"/>
        <v>Description= "Created by seeding data",</v>
      </c>
      <c r="T61" s="10" t="str">
        <f t="shared" si="11"/>
        <v>IsActive=true,</v>
      </c>
      <c r="U61" s="10" t="str">
        <f t="shared" si="12"/>
        <v>IsDeleted=false,</v>
      </c>
      <c r="V61" s="10" t="str">
        <f t="shared" si="13"/>
        <v>LastModifiedDate=null,</v>
      </c>
      <c r="W61" s="10" t="str">
        <f t="shared" si="14"/>
        <v>LastModifiedUserId=null</v>
      </c>
      <c r="X61" s="9" t="str">
        <f t="shared" ca="1" si="15"/>
        <v>Id=59,Title="پرتغال",ParentId=null,Guid=Guid.Parse("16AB9E30-4B32-4F2E-9068-BF5487B498A1"),CreatedDate=new DateTime (2026,3,25,4,26,24),CreatedUserId=null,Description= "Created by seeding data",IsActive=true,IsDeleted=false,LastModifiedDate=null,LastModifiedUserId=null</v>
      </c>
      <c r="Y61" s="9" t="str">
        <f t="shared" ca="1" si="16"/>
        <v>new State{Id=59,Title="پرتغال",ParentId=null,Guid=Guid.Parse("16AB9E30-4B32-4F2E-9068-BF5487B498A1"),CreatedDate=new DateTime (2026,3,25,4,26,24),CreatedUserId=null,Description= "Created by seeding data",IsActive=true,IsDeleted=false,LastModifiedDate=null,LastModifiedUserId=null},</v>
      </c>
    </row>
    <row r="62" spans="1:28" x14ac:dyDescent="0.5">
      <c r="A62" s="1" t="str">
        <f t="shared" si="0"/>
        <v>60,</v>
      </c>
      <c r="B62" s="1" t="s">
        <v>71</v>
      </c>
      <c r="C62" s="1" t="str">
        <f t="shared" si="1"/>
        <v>null,</v>
      </c>
      <c r="D62" s="1" t="s">
        <v>267</v>
      </c>
      <c r="E62" s="1" t="str">
        <f t="shared" ca="1" si="2"/>
        <v>new DateTime (2026,3,25,4,26,24),</v>
      </c>
      <c r="F62" s="1" t="str">
        <f t="shared" si="3"/>
        <v>null,</v>
      </c>
      <c r="G62" s="1" t="s">
        <v>207</v>
      </c>
      <c r="H62" s="1" t="str">
        <f t="shared" si="4"/>
        <v>true,</v>
      </c>
      <c r="I62" s="1" t="str">
        <f t="shared" si="5"/>
        <v>false,</v>
      </c>
      <c r="J62" s="1" t="str">
        <f t="shared" si="6"/>
        <v>null,</v>
      </c>
      <c r="K62" s="1" t="str">
        <f t="shared" si="7"/>
        <v>null</v>
      </c>
      <c r="L62" s="6"/>
      <c r="M62" s="10" t="str">
        <f>_xlfn.TEXTJOIN("=",FALSE,A$2,A62)</f>
        <v>Id=60,</v>
      </c>
      <c r="N62" s="10" t="str">
        <f>_xlfn.TEXTJOIN("=",FALSE,B$2,B62)</f>
        <v>Title="پرو",</v>
      </c>
      <c r="O62" s="10" t="str">
        <f>_xlfn.TEXTJOIN("=",FALSE,C$2,C62)</f>
        <v>ParentId=null,</v>
      </c>
      <c r="P62" s="10" t="str">
        <f>_xlfn.TEXTJOIN("=",FALSE,D$2,D62)</f>
        <v>Guid=Guid.Parse("0B2E9589-D298-4F57-9EB5-5D530F3DDA6A"),</v>
      </c>
      <c r="Q62" s="10" t="str">
        <f t="shared" ca="1" si="8"/>
        <v>CreatedDate=new DateTime (2026,3,25,4,26,24),</v>
      </c>
      <c r="R62" s="10" t="str">
        <f t="shared" si="9"/>
        <v>CreatedUserId=null,</v>
      </c>
      <c r="S62" s="10" t="str">
        <f t="shared" si="10"/>
        <v>Description= "Created by seeding data",</v>
      </c>
      <c r="T62" s="10" t="str">
        <f t="shared" si="11"/>
        <v>IsActive=true,</v>
      </c>
      <c r="U62" s="10" t="str">
        <f t="shared" si="12"/>
        <v>IsDeleted=false,</v>
      </c>
      <c r="V62" s="10" t="str">
        <f t="shared" si="13"/>
        <v>LastModifiedDate=null,</v>
      </c>
      <c r="W62" s="10" t="str">
        <f t="shared" si="14"/>
        <v>LastModifiedUserId=null</v>
      </c>
      <c r="X62" s="9" t="str">
        <f t="shared" ca="1" si="15"/>
        <v>Id=60,Title="پرو",ParentId=null,Guid=Guid.Parse("0B2E9589-D298-4F57-9EB5-5D530F3DDA6A"),CreatedDate=new DateTime (2026,3,25,4,26,24),CreatedUserId=null,Description= "Created by seeding data",IsActive=true,IsDeleted=false,LastModifiedDate=null,LastModifiedUserId=null</v>
      </c>
      <c r="Y62" s="9" t="str">
        <f t="shared" ca="1" si="16"/>
        <v>new State{Id=60,Title="پرو",ParentId=null,Guid=Guid.Parse("0B2E9589-D298-4F57-9EB5-5D530F3DDA6A"),CreatedDate=new DateTime (2026,3,25,4,26,24),CreatedUserId=null,Description= "Created by seeding data",IsActive=true,IsDeleted=false,LastModifiedDate=null,LastModifiedUserId=null},</v>
      </c>
    </row>
    <row r="63" spans="1:28" x14ac:dyDescent="0.5">
      <c r="A63" s="1" t="str">
        <f t="shared" si="0"/>
        <v>61,</v>
      </c>
      <c r="B63" s="1" t="s">
        <v>72</v>
      </c>
      <c r="C63" s="1" t="str">
        <f t="shared" si="1"/>
        <v>null,</v>
      </c>
      <c r="D63" s="1" t="s">
        <v>268</v>
      </c>
      <c r="E63" s="1" t="str">
        <f t="shared" ca="1" si="2"/>
        <v>new DateTime (2026,3,25,4,26,24),</v>
      </c>
      <c r="F63" s="1" t="str">
        <f t="shared" si="3"/>
        <v>null,</v>
      </c>
      <c r="G63" s="1" t="s">
        <v>207</v>
      </c>
      <c r="H63" s="1" t="str">
        <f t="shared" si="4"/>
        <v>true,</v>
      </c>
      <c r="I63" s="1" t="str">
        <f t="shared" si="5"/>
        <v>false,</v>
      </c>
      <c r="J63" s="1" t="str">
        <f t="shared" si="6"/>
        <v>null,</v>
      </c>
      <c r="K63" s="1" t="str">
        <f t="shared" si="7"/>
        <v>null</v>
      </c>
      <c r="L63" s="6"/>
      <c r="M63" s="10" t="str">
        <f>_xlfn.TEXTJOIN("=",FALSE,A$2,A63)</f>
        <v>Id=61,</v>
      </c>
      <c r="N63" s="10" t="str">
        <f>_xlfn.TEXTJOIN("=",FALSE,B$2,B63)</f>
        <v>Title="تاجیکستان",</v>
      </c>
      <c r="O63" s="10" t="str">
        <f>_xlfn.TEXTJOIN("=",FALSE,C$2,C63)</f>
        <v>ParentId=null,</v>
      </c>
      <c r="P63" s="10" t="str">
        <f>_xlfn.TEXTJOIN("=",FALSE,D$2,D63)</f>
        <v>Guid=Guid.Parse("4FE5800A-106A-4EDC-8C5F-40AC08706D9D"),</v>
      </c>
      <c r="Q63" s="10" t="str">
        <f t="shared" ca="1" si="8"/>
        <v>CreatedDate=new DateTime (2026,3,25,4,26,24),</v>
      </c>
      <c r="R63" s="10" t="str">
        <f t="shared" si="9"/>
        <v>CreatedUserId=null,</v>
      </c>
      <c r="S63" s="10" t="str">
        <f t="shared" si="10"/>
        <v>Description= "Created by seeding data",</v>
      </c>
      <c r="T63" s="10" t="str">
        <f t="shared" si="11"/>
        <v>IsActive=true,</v>
      </c>
      <c r="U63" s="10" t="str">
        <f t="shared" si="12"/>
        <v>IsDeleted=false,</v>
      </c>
      <c r="V63" s="10" t="str">
        <f t="shared" si="13"/>
        <v>LastModifiedDate=null,</v>
      </c>
      <c r="W63" s="10" t="str">
        <f t="shared" si="14"/>
        <v>LastModifiedUserId=null</v>
      </c>
      <c r="X63" s="9" t="str">
        <f t="shared" ca="1" si="15"/>
        <v>Id=61,Title="تاجیکستان",ParentId=null,Guid=Guid.Parse("4FE5800A-106A-4EDC-8C5F-40AC08706D9D"),CreatedDate=new DateTime (2026,3,25,4,26,24),CreatedUserId=null,Description= "Created by seeding data",IsActive=true,IsDeleted=false,LastModifiedDate=null,LastModifiedUserId=null</v>
      </c>
      <c r="Y63" s="9" t="str">
        <f t="shared" ca="1" si="16"/>
        <v>new State{Id=61,Title="تاجیکستان",ParentId=null,Guid=Guid.Parse("4FE5800A-106A-4EDC-8C5F-40AC08706D9D"),CreatedDate=new DateTime (2026,3,25,4,26,24),CreatedUserId=null,Description= "Created by seeding data",IsActive=true,IsDeleted=false,LastModifiedDate=null,LastModifiedUserId=null},</v>
      </c>
    </row>
    <row r="64" spans="1:28" x14ac:dyDescent="0.5">
      <c r="A64" s="1" t="str">
        <f t="shared" si="0"/>
        <v>62,</v>
      </c>
      <c r="B64" s="1" t="s">
        <v>73</v>
      </c>
      <c r="C64" s="1" t="str">
        <f t="shared" si="1"/>
        <v>null,</v>
      </c>
      <c r="D64" s="1" t="s">
        <v>269</v>
      </c>
      <c r="E64" s="1" t="str">
        <f t="shared" ca="1" si="2"/>
        <v>new DateTime (2026,3,25,4,26,24),</v>
      </c>
      <c r="F64" s="1" t="str">
        <f t="shared" si="3"/>
        <v>null,</v>
      </c>
      <c r="G64" s="1" t="s">
        <v>207</v>
      </c>
      <c r="H64" s="1" t="str">
        <f t="shared" si="4"/>
        <v>true,</v>
      </c>
      <c r="I64" s="1" t="str">
        <f t="shared" si="5"/>
        <v>false,</v>
      </c>
      <c r="J64" s="1" t="str">
        <f t="shared" si="6"/>
        <v>null,</v>
      </c>
      <c r="K64" s="1" t="str">
        <f t="shared" si="7"/>
        <v>null</v>
      </c>
      <c r="L64" s="6"/>
      <c r="M64" s="10" t="str">
        <f>_xlfn.TEXTJOIN("=",FALSE,A$2,A64)</f>
        <v>Id=62,</v>
      </c>
      <c r="N64" s="10" t="str">
        <f>_xlfn.TEXTJOIN("=",FALSE,B$2,B64)</f>
        <v>Title="تانزانیا",</v>
      </c>
      <c r="O64" s="10" t="str">
        <f>_xlfn.TEXTJOIN("=",FALSE,C$2,C64)</f>
        <v>ParentId=null,</v>
      </c>
      <c r="P64" s="10" t="str">
        <f>_xlfn.TEXTJOIN("=",FALSE,D$2,D64)</f>
        <v>Guid=Guid.Parse("9256776F-53DF-452B-A87C-4A3086A451CD"),</v>
      </c>
      <c r="Q64" s="10" t="str">
        <f t="shared" ca="1" si="8"/>
        <v>CreatedDate=new DateTime (2026,3,25,4,26,24),</v>
      </c>
      <c r="R64" s="10" t="str">
        <f t="shared" si="9"/>
        <v>CreatedUserId=null,</v>
      </c>
      <c r="S64" s="10" t="str">
        <f t="shared" si="10"/>
        <v>Description= "Created by seeding data",</v>
      </c>
      <c r="T64" s="10" t="str">
        <f t="shared" si="11"/>
        <v>IsActive=true,</v>
      </c>
      <c r="U64" s="10" t="str">
        <f t="shared" si="12"/>
        <v>IsDeleted=false,</v>
      </c>
      <c r="V64" s="10" t="str">
        <f t="shared" si="13"/>
        <v>LastModifiedDate=null,</v>
      </c>
      <c r="W64" s="10" t="str">
        <f t="shared" si="14"/>
        <v>LastModifiedUserId=null</v>
      </c>
      <c r="X64" s="9" t="str">
        <f t="shared" ca="1" si="15"/>
        <v>Id=62,Title="تانزانیا",ParentId=null,Guid=Guid.Parse("9256776F-53DF-452B-A87C-4A3086A451CD"),CreatedDate=new DateTime (2026,3,25,4,26,24),CreatedUserId=null,Description= "Created by seeding data",IsActive=true,IsDeleted=false,LastModifiedDate=null,LastModifiedUserId=null</v>
      </c>
      <c r="Y64" s="9" t="str">
        <f t="shared" ca="1" si="16"/>
        <v>new State{Id=62,Title="تانزانیا",ParentId=null,Guid=Guid.Parse("9256776F-53DF-452B-A87C-4A3086A451CD"),CreatedDate=new DateTime (2026,3,25,4,26,24),CreatedUserId=null,Description= "Created by seeding data",IsActive=true,IsDeleted=false,LastModifiedDate=null,LastModifiedUserId=null},</v>
      </c>
    </row>
    <row r="65" spans="1:25" x14ac:dyDescent="0.5">
      <c r="A65" s="1" t="str">
        <f t="shared" si="0"/>
        <v>63,</v>
      </c>
      <c r="B65" s="1" t="s">
        <v>74</v>
      </c>
      <c r="C65" s="1" t="str">
        <f t="shared" si="1"/>
        <v>null,</v>
      </c>
      <c r="D65" s="1" t="s">
        <v>270</v>
      </c>
      <c r="E65" s="1" t="str">
        <f t="shared" ca="1" si="2"/>
        <v>new DateTime (2026,3,25,4,26,24),</v>
      </c>
      <c r="F65" s="1" t="str">
        <f t="shared" si="3"/>
        <v>null,</v>
      </c>
      <c r="G65" s="1" t="s">
        <v>207</v>
      </c>
      <c r="H65" s="1" t="str">
        <f t="shared" si="4"/>
        <v>true,</v>
      </c>
      <c r="I65" s="1" t="str">
        <f t="shared" si="5"/>
        <v>false,</v>
      </c>
      <c r="J65" s="1" t="str">
        <f t="shared" si="6"/>
        <v>null,</v>
      </c>
      <c r="K65" s="1" t="str">
        <f t="shared" si="7"/>
        <v>null</v>
      </c>
      <c r="L65" s="6"/>
      <c r="M65" s="10" t="str">
        <f>_xlfn.TEXTJOIN("=",FALSE,A$2,A65)</f>
        <v>Id=63,</v>
      </c>
      <c r="N65" s="10" t="str">
        <f>_xlfn.TEXTJOIN("=",FALSE,B$2,B65)</f>
        <v>Title="تایلند",</v>
      </c>
      <c r="O65" s="10" t="str">
        <f>_xlfn.TEXTJOIN("=",FALSE,C$2,C65)</f>
        <v>ParentId=null,</v>
      </c>
      <c r="P65" s="10" t="str">
        <f>_xlfn.TEXTJOIN("=",FALSE,D$2,D65)</f>
        <v>Guid=Guid.Parse("8545D4A8-5939-49D6-9C73-12AF1DE0A7B7"),</v>
      </c>
      <c r="Q65" s="10" t="str">
        <f t="shared" ca="1" si="8"/>
        <v>CreatedDate=new DateTime (2026,3,25,4,26,24),</v>
      </c>
      <c r="R65" s="10" t="str">
        <f t="shared" si="9"/>
        <v>CreatedUserId=null,</v>
      </c>
      <c r="S65" s="10" t="str">
        <f t="shared" si="10"/>
        <v>Description= "Created by seeding data",</v>
      </c>
      <c r="T65" s="10" t="str">
        <f t="shared" si="11"/>
        <v>IsActive=true,</v>
      </c>
      <c r="U65" s="10" t="str">
        <f t="shared" si="12"/>
        <v>IsDeleted=false,</v>
      </c>
      <c r="V65" s="10" t="str">
        <f t="shared" si="13"/>
        <v>LastModifiedDate=null,</v>
      </c>
      <c r="W65" s="10" t="str">
        <f t="shared" si="14"/>
        <v>LastModifiedUserId=null</v>
      </c>
      <c r="X65" s="9" t="str">
        <f t="shared" ca="1" si="15"/>
        <v>Id=63,Title="تایلند",ParentId=null,Guid=Guid.Parse("8545D4A8-5939-49D6-9C73-12AF1DE0A7B7"),CreatedDate=new DateTime (2026,3,25,4,26,24),CreatedUserId=null,Description= "Created by seeding data",IsActive=true,IsDeleted=false,LastModifiedDate=null,LastModifiedUserId=null</v>
      </c>
      <c r="Y65" s="9" t="str">
        <f t="shared" ca="1" si="16"/>
        <v>new State{Id=63,Title="تایلند",ParentId=null,Guid=Guid.Parse("8545D4A8-5939-49D6-9C73-12AF1DE0A7B7"),CreatedDate=new DateTime (2026,3,25,4,26,24),CreatedUserId=null,Description= "Created by seeding data",IsActive=true,IsDeleted=false,LastModifiedDate=null,LastModifiedUserId=null},</v>
      </c>
    </row>
    <row r="66" spans="1:25" x14ac:dyDescent="0.5">
      <c r="A66" s="1" t="str">
        <f t="shared" si="0"/>
        <v>64,</v>
      </c>
      <c r="B66" s="1" t="s">
        <v>75</v>
      </c>
      <c r="C66" s="1" t="str">
        <f t="shared" si="1"/>
        <v>null,</v>
      </c>
      <c r="D66" s="1" t="s">
        <v>271</v>
      </c>
      <c r="E66" s="1" t="str">
        <f t="shared" ca="1" si="2"/>
        <v>new DateTime (2026,3,25,4,26,24),</v>
      </c>
      <c r="F66" s="1" t="str">
        <f t="shared" si="3"/>
        <v>null,</v>
      </c>
      <c r="G66" s="1" t="s">
        <v>207</v>
      </c>
      <c r="H66" s="1" t="str">
        <f t="shared" si="4"/>
        <v>true,</v>
      </c>
      <c r="I66" s="1" t="str">
        <f t="shared" si="5"/>
        <v>false,</v>
      </c>
      <c r="J66" s="1" t="str">
        <f t="shared" si="6"/>
        <v>null,</v>
      </c>
      <c r="K66" s="1" t="str">
        <f t="shared" si="7"/>
        <v>null</v>
      </c>
      <c r="L66" s="6"/>
      <c r="M66" s="10" t="str">
        <f>_xlfn.TEXTJOIN("=",FALSE,A$2,A66)</f>
        <v>Id=64,</v>
      </c>
      <c r="N66" s="10" t="str">
        <f>_xlfn.TEXTJOIN("=",FALSE,B$2,B66)</f>
        <v>Title="تایوان",</v>
      </c>
      <c r="O66" s="10" t="str">
        <f>_xlfn.TEXTJOIN("=",FALSE,C$2,C66)</f>
        <v>ParentId=null,</v>
      </c>
      <c r="P66" s="10" t="str">
        <f>_xlfn.TEXTJOIN("=",FALSE,D$2,D66)</f>
        <v>Guid=Guid.Parse("ECB47318-38BA-4672-A9BF-E2132F8207E8"),</v>
      </c>
      <c r="Q66" s="10" t="str">
        <f t="shared" ca="1" si="8"/>
        <v>CreatedDate=new DateTime (2026,3,25,4,26,24),</v>
      </c>
      <c r="R66" s="10" t="str">
        <f t="shared" si="9"/>
        <v>CreatedUserId=null,</v>
      </c>
      <c r="S66" s="10" t="str">
        <f t="shared" si="10"/>
        <v>Description= "Created by seeding data",</v>
      </c>
      <c r="T66" s="10" t="str">
        <f t="shared" si="11"/>
        <v>IsActive=true,</v>
      </c>
      <c r="U66" s="10" t="str">
        <f t="shared" si="12"/>
        <v>IsDeleted=false,</v>
      </c>
      <c r="V66" s="10" t="str">
        <f t="shared" si="13"/>
        <v>LastModifiedDate=null,</v>
      </c>
      <c r="W66" s="10" t="str">
        <f t="shared" si="14"/>
        <v>LastModifiedUserId=null</v>
      </c>
      <c r="X66" s="9" t="str">
        <f t="shared" ca="1" si="15"/>
        <v>Id=64,Title="تایوان",ParentId=null,Guid=Guid.Parse("ECB47318-38BA-4672-A9BF-E2132F8207E8"),CreatedDate=new DateTime (2026,3,25,4,26,24),CreatedUserId=null,Description= "Created by seeding data",IsActive=true,IsDeleted=false,LastModifiedDate=null,LastModifiedUserId=null</v>
      </c>
      <c r="Y66" s="9" t="str">
        <f t="shared" ca="1" si="16"/>
        <v>new State{Id=64,Title="تایوان",ParentId=null,Guid=Guid.Parse("ECB47318-38BA-4672-A9BF-E2132F8207E8"),CreatedDate=new DateTime (2026,3,25,4,26,24),CreatedUserId=null,Description= "Created by seeding data",IsActive=true,IsDeleted=false,LastModifiedDate=null,LastModifiedUserId=null},</v>
      </c>
    </row>
    <row r="67" spans="1:25" x14ac:dyDescent="0.5">
      <c r="A67" s="1" t="str">
        <f t="shared" si="0"/>
        <v>65,</v>
      </c>
      <c r="B67" s="1" t="s">
        <v>76</v>
      </c>
      <c r="C67" s="1" t="str">
        <f t="shared" si="1"/>
        <v>null,</v>
      </c>
      <c r="D67" s="1" t="s">
        <v>272</v>
      </c>
      <c r="E67" s="1" t="str">
        <f t="shared" ca="1" si="2"/>
        <v>new DateTime (2026,3,25,4,26,24),</v>
      </c>
      <c r="F67" s="1" t="str">
        <f t="shared" si="3"/>
        <v>null,</v>
      </c>
      <c r="G67" s="1" t="s">
        <v>207</v>
      </c>
      <c r="H67" s="1" t="str">
        <f t="shared" si="4"/>
        <v>true,</v>
      </c>
      <c r="I67" s="1" t="str">
        <f t="shared" si="5"/>
        <v>false,</v>
      </c>
      <c r="J67" s="1" t="str">
        <f t="shared" si="6"/>
        <v>null,</v>
      </c>
      <c r="K67" s="1" t="str">
        <f t="shared" si="7"/>
        <v>null</v>
      </c>
      <c r="L67" s="6"/>
      <c r="M67" s="10" t="str">
        <f>_xlfn.TEXTJOIN("=",FALSE,A$2,A67)</f>
        <v>Id=65,</v>
      </c>
      <c r="N67" s="10" t="str">
        <f>_xlfn.TEXTJOIN("=",FALSE,B$2,B67)</f>
        <v>Title="ترکمنستان",</v>
      </c>
      <c r="O67" s="10" t="str">
        <f>_xlfn.TEXTJOIN("=",FALSE,C$2,C67)</f>
        <v>ParentId=null,</v>
      </c>
      <c r="P67" s="10" t="str">
        <f>_xlfn.TEXTJOIN("=",FALSE,D$2,D67)</f>
        <v>Guid=Guid.Parse("646EEFD1-6A3E-4127-88EB-D46CFE994076"),</v>
      </c>
      <c r="Q67" s="10" t="str">
        <f t="shared" ca="1" si="8"/>
        <v>CreatedDate=new DateTime (2026,3,25,4,26,24),</v>
      </c>
      <c r="R67" s="10" t="str">
        <f t="shared" si="9"/>
        <v>CreatedUserId=null,</v>
      </c>
      <c r="S67" s="10" t="str">
        <f t="shared" si="10"/>
        <v>Description= "Created by seeding data",</v>
      </c>
      <c r="T67" s="10" t="str">
        <f t="shared" si="11"/>
        <v>IsActive=true,</v>
      </c>
      <c r="U67" s="10" t="str">
        <f t="shared" si="12"/>
        <v>IsDeleted=false,</v>
      </c>
      <c r="V67" s="10" t="str">
        <f t="shared" si="13"/>
        <v>LastModifiedDate=null,</v>
      </c>
      <c r="W67" s="10" t="str">
        <f t="shared" si="14"/>
        <v>LastModifiedUserId=null</v>
      </c>
      <c r="X67" s="9" t="str">
        <f t="shared" ca="1" si="15"/>
        <v>Id=65,Title="ترکمنستان",ParentId=null,Guid=Guid.Parse("646EEFD1-6A3E-4127-88EB-D46CFE994076"),CreatedDate=new DateTime (2026,3,25,4,26,24),CreatedUserId=null,Description= "Created by seeding data",IsActive=true,IsDeleted=false,LastModifiedDate=null,LastModifiedUserId=null</v>
      </c>
      <c r="Y67" s="9" t="str">
        <f t="shared" ca="1" si="16"/>
        <v>new State{Id=65,Title="ترکمنستان",ParentId=null,Guid=Guid.Parse("646EEFD1-6A3E-4127-88EB-D46CFE994076"),CreatedDate=new DateTime (2026,3,25,4,26,24),CreatedUserId=null,Description= "Created by seeding data",IsActive=true,IsDeleted=false,LastModifiedDate=null,LastModifiedUserId=null},</v>
      </c>
    </row>
    <row r="68" spans="1:25" x14ac:dyDescent="0.5">
      <c r="A68" s="1" t="str">
        <f t="shared" ref="A68:A131" si="17">ROW()-ROW($A$2)&amp;","</f>
        <v>66,</v>
      </c>
      <c r="B68" s="1" t="s">
        <v>77</v>
      </c>
      <c r="C68" s="1" t="str">
        <f t="shared" ref="C68:C131" si="18">"null,"</f>
        <v>null,</v>
      </c>
      <c r="D68" s="1" t="s">
        <v>273</v>
      </c>
      <c r="E68" s="1" t="str">
        <f t="shared" ref="E68:E131" ca="1" si="19">"new DateTime (" &amp; $C$1&amp;"),"</f>
        <v>new DateTime (2026,3,25,4,26,24),</v>
      </c>
      <c r="F68" s="1" t="str">
        <f t="shared" ref="F68:F131" si="20">"null,"</f>
        <v>null,</v>
      </c>
      <c r="G68" s="1" t="s">
        <v>207</v>
      </c>
      <c r="H68" s="1" t="str">
        <f t="shared" ref="H68:H131" si="21">"true,"</f>
        <v>true,</v>
      </c>
      <c r="I68" s="1" t="str">
        <f t="shared" ref="I68:I131" si="22">"false,"</f>
        <v>false,</v>
      </c>
      <c r="J68" s="1" t="str">
        <f t="shared" ref="J68:J131" si="23">"null,"</f>
        <v>null,</v>
      </c>
      <c r="K68" s="1" t="str">
        <f t="shared" ref="K68:K131" si="24">"null"</f>
        <v>null</v>
      </c>
      <c r="L68" s="6"/>
      <c r="M68" s="10" t="str">
        <f>_xlfn.TEXTJOIN("=",FALSE,A$2,A68)</f>
        <v>Id=66,</v>
      </c>
      <c r="N68" s="10" t="str">
        <f>_xlfn.TEXTJOIN("=",FALSE,B$2,B68)</f>
        <v>Title="ترکیه",</v>
      </c>
      <c r="O68" s="10" t="str">
        <f>_xlfn.TEXTJOIN("=",FALSE,C$2,C68)</f>
        <v>ParentId=null,</v>
      </c>
      <c r="P68" s="10" t="str">
        <f>_xlfn.TEXTJOIN("=",FALSE,D$2,D68)</f>
        <v>Guid=Guid.Parse("82AB027B-BDE3-4EE9-A217-4073BCEA57B0"),</v>
      </c>
      <c r="Q68" s="10" t="str">
        <f t="shared" ref="Q68:Q131" ca="1" si="25">_xlfn.TEXTJOIN("=",FALSE,E$2,E68)</f>
        <v>CreatedDate=new DateTime (2026,3,25,4,26,24),</v>
      </c>
      <c r="R68" s="10" t="str">
        <f t="shared" ref="R68:R131" si="26">_xlfn.TEXTJOIN("=",FALSE,F$2,F68)</f>
        <v>CreatedUserId=null,</v>
      </c>
      <c r="S68" s="10" t="str">
        <f t="shared" ref="S68:S131" si="27">_xlfn.TEXTJOIN("=",FALSE,G$2,G68)</f>
        <v>Description= "Created by seeding data",</v>
      </c>
      <c r="T68" s="10" t="str">
        <f t="shared" ref="T68:T131" si="28">_xlfn.TEXTJOIN("=",FALSE,H$2,H68)</f>
        <v>IsActive=true,</v>
      </c>
      <c r="U68" s="10" t="str">
        <f t="shared" ref="U68:U131" si="29">_xlfn.TEXTJOIN("=",FALSE,I$2,I68)</f>
        <v>IsDeleted=false,</v>
      </c>
      <c r="V68" s="10" t="str">
        <f t="shared" ref="V68:V131" si="30">_xlfn.TEXTJOIN("=",FALSE,J$2,J68)</f>
        <v>LastModifiedDate=null,</v>
      </c>
      <c r="W68" s="10" t="str">
        <f t="shared" ref="W68:W131" si="31">_xlfn.TEXTJOIN("=",FALSE,K$2,K68)</f>
        <v>LastModifiedUserId=null</v>
      </c>
      <c r="X68" s="9" t="str">
        <f t="shared" ref="X68:X131" ca="1" si="32">_xlfn.TEXTJOIN("",FALSE,M68:W68)</f>
        <v>Id=66,Title="ترکیه",ParentId=null,Guid=Guid.Parse("82AB027B-BDE3-4EE9-A217-4073BCEA57B0"),CreatedDate=new DateTime (2026,3,25,4,26,24),CreatedUserId=null,Description= "Created by seeding data",IsActive=true,IsDeleted=false,LastModifiedDate=null,LastModifiedUserId=null</v>
      </c>
      <c r="Y68" s="9" t="str">
        <f t="shared" ref="Y68:Y131" ca="1" si="33">"new State{" &amp;X68&amp; "},"</f>
        <v>new State{Id=66,Title="ترکیه",ParentId=null,Guid=Guid.Parse("82AB027B-BDE3-4EE9-A217-4073BCEA57B0"),CreatedDate=new DateTime (2026,3,25,4,26,24),CreatedUserId=null,Description= "Created by seeding data",IsActive=true,IsDeleted=false,LastModifiedDate=null,LastModifiedUserId=null},</v>
      </c>
    </row>
    <row r="69" spans="1:25" x14ac:dyDescent="0.5">
      <c r="A69" s="1" t="str">
        <f t="shared" si="17"/>
        <v>67,</v>
      </c>
      <c r="B69" s="1" t="s">
        <v>78</v>
      </c>
      <c r="C69" s="1" t="str">
        <f t="shared" si="18"/>
        <v>null,</v>
      </c>
      <c r="D69" s="1" t="s">
        <v>274</v>
      </c>
      <c r="E69" s="1" t="str">
        <f t="shared" ca="1" si="19"/>
        <v>new DateTime (2026,3,25,4,26,24),</v>
      </c>
      <c r="F69" s="1" t="str">
        <f t="shared" si="20"/>
        <v>null,</v>
      </c>
      <c r="G69" s="1" t="s">
        <v>207</v>
      </c>
      <c r="H69" s="1" t="str">
        <f t="shared" si="21"/>
        <v>true,</v>
      </c>
      <c r="I69" s="1" t="str">
        <f t="shared" si="22"/>
        <v>false,</v>
      </c>
      <c r="J69" s="1" t="str">
        <f t="shared" si="23"/>
        <v>null,</v>
      </c>
      <c r="K69" s="1" t="str">
        <f t="shared" si="24"/>
        <v>null</v>
      </c>
      <c r="L69" s="6"/>
      <c r="M69" s="10" t="str">
        <f>_xlfn.TEXTJOIN("=",FALSE,A$2,A69)</f>
        <v>Id=67,</v>
      </c>
      <c r="N69" s="10" t="str">
        <f>_xlfn.TEXTJOIN("=",FALSE,B$2,B69)</f>
        <v>Title="ترینیداد و توباگو",</v>
      </c>
      <c r="O69" s="10" t="str">
        <f>_xlfn.TEXTJOIN("=",FALSE,C$2,C69)</f>
        <v>ParentId=null,</v>
      </c>
      <c r="P69" s="10" t="str">
        <f>_xlfn.TEXTJOIN("=",FALSE,D$2,D69)</f>
        <v>Guid=Guid.Parse("DBEECB7A-2D43-401F-B3A9-B46BDF87C29B"),</v>
      </c>
      <c r="Q69" s="10" t="str">
        <f t="shared" ca="1" si="25"/>
        <v>CreatedDate=new DateTime (2026,3,25,4,26,24),</v>
      </c>
      <c r="R69" s="10" t="str">
        <f t="shared" si="26"/>
        <v>CreatedUserId=null,</v>
      </c>
      <c r="S69" s="10" t="str">
        <f t="shared" si="27"/>
        <v>Description= "Created by seeding data",</v>
      </c>
      <c r="T69" s="10" t="str">
        <f t="shared" si="28"/>
        <v>IsActive=true,</v>
      </c>
      <c r="U69" s="10" t="str">
        <f t="shared" si="29"/>
        <v>IsDeleted=false,</v>
      </c>
      <c r="V69" s="10" t="str">
        <f t="shared" si="30"/>
        <v>LastModifiedDate=null,</v>
      </c>
      <c r="W69" s="10" t="str">
        <f t="shared" si="31"/>
        <v>LastModifiedUserId=null</v>
      </c>
      <c r="X69" s="9" t="str">
        <f t="shared" ca="1" si="32"/>
        <v>Id=67,Title="ترینیداد و توباگو",ParentId=null,Guid=Guid.Parse("DBEECB7A-2D43-401F-B3A9-B46BDF87C29B"),CreatedDate=new DateTime (2026,3,25,4,26,24),CreatedUserId=null,Description= "Created by seeding data",IsActive=true,IsDeleted=false,LastModifiedDate=null,LastModifiedUserId=null</v>
      </c>
      <c r="Y69" s="9" t="str">
        <f t="shared" ca="1" si="33"/>
        <v>new State{Id=67,Title="ترینیداد و توباگو",ParentId=null,Guid=Guid.Parse("DBEECB7A-2D43-401F-B3A9-B46BDF87C29B"),CreatedDate=new DateTime (2026,3,25,4,26,24),CreatedUserId=null,Description= "Created by seeding data",IsActive=true,IsDeleted=false,LastModifiedDate=null,LastModifiedUserId=null},</v>
      </c>
    </row>
    <row r="70" spans="1:25" x14ac:dyDescent="0.5">
      <c r="A70" s="1" t="str">
        <f t="shared" si="17"/>
        <v>68,</v>
      </c>
      <c r="B70" s="1" t="s">
        <v>79</v>
      </c>
      <c r="C70" s="1" t="str">
        <f t="shared" si="18"/>
        <v>null,</v>
      </c>
      <c r="D70" s="1" t="s">
        <v>275</v>
      </c>
      <c r="E70" s="1" t="str">
        <f t="shared" ca="1" si="19"/>
        <v>new DateTime (2026,3,25,4,26,24),</v>
      </c>
      <c r="F70" s="1" t="str">
        <f t="shared" si="20"/>
        <v>null,</v>
      </c>
      <c r="G70" s="1" t="s">
        <v>207</v>
      </c>
      <c r="H70" s="1" t="str">
        <f t="shared" si="21"/>
        <v>true,</v>
      </c>
      <c r="I70" s="1" t="str">
        <f t="shared" si="22"/>
        <v>false,</v>
      </c>
      <c r="J70" s="1" t="str">
        <f t="shared" si="23"/>
        <v>null,</v>
      </c>
      <c r="K70" s="1" t="str">
        <f t="shared" si="24"/>
        <v>null</v>
      </c>
      <c r="L70" s="6"/>
      <c r="M70" s="10" t="str">
        <f>_xlfn.TEXTJOIN("=",FALSE,A$2,A70)</f>
        <v>Id=68,</v>
      </c>
      <c r="N70" s="10" t="str">
        <f>_xlfn.TEXTJOIN("=",FALSE,B$2,B70)</f>
        <v>Title="توگو",</v>
      </c>
      <c r="O70" s="10" t="str">
        <f>_xlfn.TEXTJOIN("=",FALSE,C$2,C70)</f>
        <v>ParentId=null,</v>
      </c>
      <c r="P70" s="10" t="str">
        <f>_xlfn.TEXTJOIN("=",FALSE,D$2,D70)</f>
        <v>Guid=Guid.Parse("7BBF3CE3-81DE-4423-A7C9-DC14068D03D2"),</v>
      </c>
      <c r="Q70" s="10" t="str">
        <f t="shared" ca="1" si="25"/>
        <v>CreatedDate=new DateTime (2026,3,25,4,26,24),</v>
      </c>
      <c r="R70" s="10" t="str">
        <f t="shared" si="26"/>
        <v>CreatedUserId=null,</v>
      </c>
      <c r="S70" s="10" t="str">
        <f t="shared" si="27"/>
        <v>Description= "Created by seeding data",</v>
      </c>
      <c r="T70" s="10" t="str">
        <f t="shared" si="28"/>
        <v>IsActive=true,</v>
      </c>
      <c r="U70" s="10" t="str">
        <f t="shared" si="29"/>
        <v>IsDeleted=false,</v>
      </c>
      <c r="V70" s="10" t="str">
        <f t="shared" si="30"/>
        <v>LastModifiedDate=null,</v>
      </c>
      <c r="W70" s="10" t="str">
        <f t="shared" si="31"/>
        <v>LastModifiedUserId=null</v>
      </c>
      <c r="X70" s="9" t="str">
        <f t="shared" ca="1" si="32"/>
        <v>Id=68,Title="توگو",ParentId=null,Guid=Guid.Parse("7BBF3CE3-81DE-4423-A7C9-DC14068D03D2"),CreatedDate=new DateTime (2026,3,25,4,26,24),CreatedUserId=null,Description= "Created by seeding data",IsActive=true,IsDeleted=false,LastModifiedDate=null,LastModifiedUserId=null</v>
      </c>
      <c r="Y70" s="9" t="str">
        <f t="shared" ca="1" si="33"/>
        <v>new State{Id=68,Title="توگو",ParentId=null,Guid=Guid.Parse("7BBF3CE3-81DE-4423-A7C9-DC14068D03D2"),CreatedDate=new DateTime (2026,3,25,4,26,24),CreatedUserId=null,Description= "Created by seeding data",IsActive=true,IsDeleted=false,LastModifiedDate=null,LastModifiedUserId=null},</v>
      </c>
    </row>
    <row r="71" spans="1:25" x14ac:dyDescent="0.5">
      <c r="A71" s="1" t="str">
        <f t="shared" si="17"/>
        <v>69,</v>
      </c>
      <c r="B71" s="1" t="s">
        <v>80</v>
      </c>
      <c r="C71" s="1" t="str">
        <f t="shared" si="18"/>
        <v>null,</v>
      </c>
      <c r="D71" s="1" t="s">
        <v>276</v>
      </c>
      <c r="E71" s="1" t="str">
        <f t="shared" ca="1" si="19"/>
        <v>new DateTime (2026,3,25,4,26,24),</v>
      </c>
      <c r="F71" s="1" t="str">
        <f t="shared" si="20"/>
        <v>null,</v>
      </c>
      <c r="G71" s="1" t="s">
        <v>207</v>
      </c>
      <c r="H71" s="1" t="str">
        <f t="shared" si="21"/>
        <v>true,</v>
      </c>
      <c r="I71" s="1" t="str">
        <f t="shared" si="22"/>
        <v>false,</v>
      </c>
      <c r="J71" s="1" t="str">
        <f t="shared" si="23"/>
        <v>null,</v>
      </c>
      <c r="K71" s="1" t="str">
        <f t="shared" si="24"/>
        <v>null</v>
      </c>
      <c r="L71" s="6"/>
      <c r="M71" s="10" t="str">
        <f>_xlfn.TEXTJOIN("=",FALSE,A$2,A71)</f>
        <v>Id=69,</v>
      </c>
      <c r="N71" s="10" t="str">
        <f>_xlfn.TEXTJOIN("=",FALSE,B$2,B71)</f>
        <v>Title="تونس",</v>
      </c>
      <c r="O71" s="10" t="str">
        <f>_xlfn.TEXTJOIN("=",FALSE,C$2,C71)</f>
        <v>ParentId=null,</v>
      </c>
      <c r="P71" s="10" t="str">
        <f>_xlfn.TEXTJOIN("=",FALSE,D$2,D71)</f>
        <v>Guid=Guid.Parse("A16B2315-C803-4BED-AC69-214C6CDE3FF3"),</v>
      </c>
      <c r="Q71" s="10" t="str">
        <f t="shared" ca="1" si="25"/>
        <v>CreatedDate=new DateTime (2026,3,25,4,26,24),</v>
      </c>
      <c r="R71" s="10" t="str">
        <f t="shared" si="26"/>
        <v>CreatedUserId=null,</v>
      </c>
      <c r="S71" s="10" t="str">
        <f t="shared" si="27"/>
        <v>Description= "Created by seeding data",</v>
      </c>
      <c r="T71" s="10" t="str">
        <f t="shared" si="28"/>
        <v>IsActive=true,</v>
      </c>
      <c r="U71" s="10" t="str">
        <f t="shared" si="29"/>
        <v>IsDeleted=false,</v>
      </c>
      <c r="V71" s="10" t="str">
        <f t="shared" si="30"/>
        <v>LastModifiedDate=null,</v>
      </c>
      <c r="W71" s="10" t="str">
        <f t="shared" si="31"/>
        <v>LastModifiedUserId=null</v>
      </c>
      <c r="X71" s="9" t="str">
        <f t="shared" ca="1" si="32"/>
        <v>Id=69,Title="تونس",ParentId=null,Guid=Guid.Parse("A16B2315-C803-4BED-AC69-214C6CDE3FF3"),CreatedDate=new DateTime (2026,3,25,4,26,24),CreatedUserId=null,Description= "Created by seeding data",IsActive=true,IsDeleted=false,LastModifiedDate=null,LastModifiedUserId=null</v>
      </c>
      <c r="Y71" s="9" t="str">
        <f t="shared" ca="1" si="33"/>
        <v>new State{Id=69,Title="تونس",ParentId=null,Guid=Guid.Parse("A16B2315-C803-4BED-AC69-214C6CDE3FF3"),CreatedDate=new DateTime (2026,3,25,4,26,24),CreatedUserId=null,Description= "Created by seeding data",IsActive=true,IsDeleted=false,LastModifiedDate=null,LastModifiedUserId=null},</v>
      </c>
    </row>
    <row r="72" spans="1:25" x14ac:dyDescent="0.5">
      <c r="A72" s="1" t="str">
        <f t="shared" si="17"/>
        <v>70,</v>
      </c>
      <c r="B72" s="1" t="s">
        <v>81</v>
      </c>
      <c r="C72" s="1" t="str">
        <f t="shared" si="18"/>
        <v>null,</v>
      </c>
      <c r="D72" s="1" t="s">
        <v>277</v>
      </c>
      <c r="E72" s="1" t="str">
        <f t="shared" ca="1" si="19"/>
        <v>new DateTime (2026,3,25,4,26,24),</v>
      </c>
      <c r="F72" s="1" t="str">
        <f t="shared" si="20"/>
        <v>null,</v>
      </c>
      <c r="G72" s="1" t="s">
        <v>207</v>
      </c>
      <c r="H72" s="1" t="str">
        <f t="shared" si="21"/>
        <v>true,</v>
      </c>
      <c r="I72" s="1" t="str">
        <f t="shared" si="22"/>
        <v>false,</v>
      </c>
      <c r="J72" s="1" t="str">
        <f t="shared" si="23"/>
        <v>null,</v>
      </c>
      <c r="K72" s="1" t="str">
        <f t="shared" si="24"/>
        <v>null</v>
      </c>
      <c r="L72" s="6"/>
      <c r="M72" s="10" t="str">
        <f>_xlfn.TEXTJOIN("=",FALSE,A$2,A72)</f>
        <v>Id=70,</v>
      </c>
      <c r="N72" s="10" t="str">
        <f>_xlfn.TEXTJOIN("=",FALSE,B$2,B72)</f>
        <v>Title="تونگا",</v>
      </c>
      <c r="O72" s="10" t="str">
        <f>_xlfn.TEXTJOIN("=",FALSE,C$2,C72)</f>
        <v>ParentId=null,</v>
      </c>
      <c r="P72" s="10" t="str">
        <f>_xlfn.TEXTJOIN("=",FALSE,D$2,D72)</f>
        <v>Guid=Guid.Parse("A18DAFC6-11A4-4920-9E42-5983E6758D12"),</v>
      </c>
      <c r="Q72" s="10" t="str">
        <f t="shared" ca="1" si="25"/>
        <v>CreatedDate=new DateTime (2026,3,25,4,26,24),</v>
      </c>
      <c r="R72" s="10" t="str">
        <f t="shared" si="26"/>
        <v>CreatedUserId=null,</v>
      </c>
      <c r="S72" s="10" t="str">
        <f t="shared" si="27"/>
        <v>Description= "Created by seeding data",</v>
      </c>
      <c r="T72" s="10" t="str">
        <f t="shared" si="28"/>
        <v>IsActive=true,</v>
      </c>
      <c r="U72" s="10" t="str">
        <f t="shared" si="29"/>
        <v>IsDeleted=false,</v>
      </c>
      <c r="V72" s="10" t="str">
        <f t="shared" si="30"/>
        <v>LastModifiedDate=null,</v>
      </c>
      <c r="W72" s="10" t="str">
        <f t="shared" si="31"/>
        <v>LastModifiedUserId=null</v>
      </c>
      <c r="X72" s="9" t="str">
        <f t="shared" ca="1" si="32"/>
        <v>Id=70,Title="تونگا",ParentId=null,Guid=Guid.Parse("A18DAFC6-11A4-4920-9E42-5983E6758D12"),CreatedDate=new DateTime (2026,3,25,4,26,24),CreatedUserId=null,Description= "Created by seeding data",IsActive=true,IsDeleted=false,LastModifiedDate=null,LastModifiedUserId=null</v>
      </c>
      <c r="Y72" s="9" t="str">
        <f t="shared" ca="1" si="33"/>
        <v>new State{Id=70,Title="تونگا",ParentId=null,Guid=Guid.Parse("A18DAFC6-11A4-4920-9E42-5983E6758D12"),CreatedDate=new DateTime (2026,3,25,4,26,24),CreatedUserId=null,Description= "Created by seeding data",IsActive=true,IsDeleted=false,LastModifiedDate=null,LastModifiedUserId=null},</v>
      </c>
    </row>
    <row r="73" spans="1:25" x14ac:dyDescent="0.5">
      <c r="A73" s="1" t="str">
        <f t="shared" si="17"/>
        <v>71,</v>
      </c>
      <c r="B73" s="1" t="s">
        <v>82</v>
      </c>
      <c r="C73" s="1" t="str">
        <f t="shared" si="18"/>
        <v>null,</v>
      </c>
      <c r="D73" s="1" t="s">
        <v>278</v>
      </c>
      <c r="E73" s="1" t="str">
        <f t="shared" ca="1" si="19"/>
        <v>new DateTime (2026,3,25,4,26,24),</v>
      </c>
      <c r="F73" s="1" t="str">
        <f t="shared" si="20"/>
        <v>null,</v>
      </c>
      <c r="G73" s="1" t="s">
        <v>207</v>
      </c>
      <c r="H73" s="1" t="str">
        <f t="shared" si="21"/>
        <v>true,</v>
      </c>
      <c r="I73" s="1" t="str">
        <f t="shared" si="22"/>
        <v>false,</v>
      </c>
      <c r="J73" s="1" t="str">
        <f t="shared" si="23"/>
        <v>null,</v>
      </c>
      <c r="K73" s="1" t="str">
        <f t="shared" si="24"/>
        <v>null</v>
      </c>
      <c r="L73" s="6"/>
      <c r="M73" s="10" t="str">
        <f>_xlfn.TEXTJOIN("=",FALSE,A$2,A73)</f>
        <v>Id=71,</v>
      </c>
      <c r="N73" s="10" t="str">
        <f>_xlfn.TEXTJOIN("=",FALSE,B$2,B73)</f>
        <v>Title="تووالو",</v>
      </c>
      <c r="O73" s="10" t="str">
        <f>_xlfn.TEXTJOIN("=",FALSE,C$2,C73)</f>
        <v>ParentId=null,</v>
      </c>
      <c r="P73" s="10" t="str">
        <f>_xlfn.TEXTJOIN("=",FALSE,D$2,D73)</f>
        <v>Guid=Guid.Parse("2AE85D9E-33C7-4674-B1CA-E0581C48178A"),</v>
      </c>
      <c r="Q73" s="10" t="str">
        <f t="shared" ca="1" si="25"/>
        <v>CreatedDate=new DateTime (2026,3,25,4,26,24),</v>
      </c>
      <c r="R73" s="10" t="str">
        <f t="shared" si="26"/>
        <v>CreatedUserId=null,</v>
      </c>
      <c r="S73" s="10" t="str">
        <f t="shared" si="27"/>
        <v>Description= "Created by seeding data",</v>
      </c>
      <c r="T73" s="10" t="str">
        <f t="shared" si="28"/>
        <v>IsActive=true,</v>
      </c>
      <c r="U73" s="10" t="str">
        <f t="shared" si="29"/>
        <v>IsDeleted=false,</v>
      </c>
      <c r="V73" s="10" t="str">
        <f t="shared" si="30"/>
        <v>LastModifiedDate=null,</v>
      </c>
      <c r="W73" s="10" t="str">
        <f t="shared" si="31"/>
        <v>LastModifiedUserId=null</v>
      </c>
      <c r="X73" s="9" t="str">
        <f t="shared" ca="1" si="32"/>
        <v>Id=71,Title="تووالو",ParentId=null,Guid=Guid.Parse("2AE85D9E-33C7-4674-B1CA-E0581C48178A"),CreatedDate=new DateTime (2026,3,25,4,26,24),CreatedUserId=null,Description= "Created by seeding data",IsActive=true,IsDeleted=false,LastModifiedDate=null,LastModifiedUserId=null</v>
      </c>
      <c r="Y73" s="9" t="str">
        <f t="shared" ca="1" si="33"/>
        <v>new State{Id=71,Title="تووالو",ParentId=null,Guid=Guid.Parse("2AE85D9E-33C7-4674-B1CA-E0581C48178A"),CreatedDate=new DateTime (2026,3,25,4,26,24),CreatedUserId=null,Description= "Created by seeding data",IsActive=true,IsDeleted=false,LastModifiedDate=null,LastModifiedUserId=null},</v>
      </c>
    </row>
    <row r="74" spans="1:25" x14ac:dyDescent="0.5">
      <c r="A74" s="1" t="str">
        <f t="shared" si="17"/>
        <v>72,</v>
      </c>
      <c r="B74" s="1" t="s">
        <v>83</v>
      </c>
      <c r="C74" s="1" t="str">
        <f t="shared" si="18"/>
        <v>null,</v>
      </c>
      <c r="D74" s="1" t="s">
        <v>279</v>
      </c>
      <c r="E74" s="1" t="str">
        <f t="shared" ca="1" si="19"/>
        <v>new DateTime (2026,3,25,4,26,24),</v>
      </c>
      <c r="F74" s="1" t="str">
        <f t="shared" si="20"/>
        <v>null,</v>
      </c>
      <c r="G74" s="1" t="s">
        <v>207</v>
      </c>
      <c r="H74" s="1" t="str">
        <f t="shared" si="21"/>
        <v>true,</v>
      </c>
      <c r="I74" s="1" t="str">
        <f t="shared" si="22"/>
        <v>false,</v>
      </c>
      <c r="J74" s="1" t="str">
        <f t="shared" si="23"/>
        <v>null,</v>
      </c>
      <c r="K74" s="1" t="str">
        <f t="shared" si="24"/>
        <v>null</v>
      </c>
      <c r="L74" s="6"/>
      <c r="M74" s="10" t="str">
        <f>_xlfn.TEXTJOIN("=",FALSE,A$2,A74)</f>
        <v>Id=72,</v>
      </c>
      <c r="N74" s="10" t="str">
        <f>_xlfn.TEXTJOIN("=",FALSE,B$2,B74)</f>
        <v>Title="تیمور شرقی",</v>
      </c>
      <c r="O74" s="10" t="str">
        <f>_xlfn.TEXTJOIN("=",FALSE,C$2,C74)</f>
        <v>ParentId=null,</v>
      </c>
      <c r="P74" s="10" t="str">
        <f>_xlfn.TEXTJOIN("=",FALSE,D$2,D74)</f>
        <v>Guid=Guid.Parse("2941F4F3-249F-40BB-A1E6-6A830F4B7F1D"),</v>
      </c>
      <c r="Q74" s="10" t="str">
        <f t="shared" ca="1" si="25"/>
        <v>CreatedDate=new DateTime (2026,3,25,4,26,24),</v>
      </c>
      <c r="R74" s="10" t="str">
        <f t="shared" si="26"/>
        <v>CreatedUserId=null,</v>
      </c>
      <c r="S74" s="10" t="str">
        <f t="shared" si="27"/>
        <v>Description= "Created by seeding data",</v>
      </c>
      <c r="T74" s="10" t="str">
        <f t="shared" si="28"/>
        <v>IsActive=true,</v>
      </c>
      <c r="U74" s="10" t="str">
        <f t="shared" si="29"/>
        <v>IsDeleted=false,</v>
      </c>
      <c r="V74" s="10" t="str">
        <f t="shared" si="30"/>
        <v>LastModifiedDate=null,</v>
      </c>
      <c r="W74" s="10" t="str">
        <f t="shared" si="31"/>
        <v>LastModifiedUserId=null</v>
      </c>
      <c r="X74" s="9" t="str">
        <f t="shared" ca="1" si="32"/>
        <v>Id=72,Title="تیمور شرقی",ParentId=null,Guid=Guid.Parse("2941F4F3-249F-40BB-A1E6-6A830F4B7F1D"),CreatedDate=new DateTime (2026,3,25,4,26,24),CreatedUserId=null,Description= "Created by seeding data",IsActive=true,IsDeleted=false,LastModifiedDate=null,LastModifiedUserId=null</v>
      </c>
      <c r="Y74" s="9" t="str">
        <f t="shared" ca="1" si="33"/>
        <v>new State{Id=72,Title="تیمور شرقی",ParentId=null,Guid=Guid.Parse("2941F4F3-249F-40BB-A1E6-6A830F4B7F1D"),CreatedDate=new DateTime (2026,3,25,4,26,24),CreatedUserId=null,Description= "Created by seeding data",IsActive=true,IsDeleted=false,LastModifiedDate=null,LastModifiedUserId=null},</v>
      </c>
    </row>
    <row r="75" spans="1:25" x14ac:dyDescent="0.5">
      <c r="A75" s="1" t="str">
        <f t="shared" si="17"/>
        <v>73,</v>
      </c>
      <c r="B75" s="1" t="s">
        <v>84</v>
      </c>
      <c r="C75" s="1" t="str">
        <f t="shared" si="18"/>
        <v>null,</v>
      </c>
      <c r="D75" s="1" t="s">
        <v>280</v>
      </c>
      <c r="E75" s="1" t="str">
        <f t="shared" ca="1" si="19"/>
        <v>new DateTime (2026,3,25,4,26,24),</v>
      </c>
      <c r="F75" s="1" t="str">
        <f t="shared" si="20"/>
        <v>null,</v>
      </c>
      <c r="G75" s="1" t="s">
        <v>207</v>
      </c>
      <c r="H75" s="1" t="str">
        <f t="shared" si="21"/>
        <v>true,</v>
      </c>
      <c r="I75" s="1" t="str">
        <f t="shared" si="22"/>
        <v>false,</v>
      </c>
      <c r="J75" s="1" t="str">
        <f t="shared" si="23"/>
        <v>null,</v>
      </c>
      <c r="K75" s="1" t="str">
        <f t="shared" si="24"/>
        <v>null</v>
      </c>
      <c r="L75" s="6"/>
      <c r="M75" s="10" t="str">
        <f>_xlfn.TEXTJOIN("=",FALSE,A$2,A75)</f>
        <v>Id=73,</v>
      </c>
      <c r="N75" s="10" t="str">
        <f>_xlfn.TEXTJOIN("=",FALSE,B$2,B75)</f>
        <v>Title="جامائیکا",</v>
      </c>
      <c r="O75" s="10" t="str">
        <f>_xlfn.TEXTJOIN("=",FALSE,C$2,C75)</f>
        <v>ParentId=null,</v>
      </c>
      <c r="P75" s="10" t="str">
        <f>_xlfn.TEXTJOIN("=",FALSE,D$2,D75)</f>
        <v>Guid=Guid.Parse("64B19CD3-2416-494A-BF23-D368A5EA607C"),</v>
      </c>
      <c r="Q75" s="10" t="str">
        <f t="shared" ca="1" si="25"/>
        <v>CreatedDate=new DateTime (2026,3,25,4,26,24),</v>
      </c>
      <c r="R75" s="10" t="str">
        <f t="shared" si="26"/>
        <v>CreatedUserId=null,</v>
      </c>
      <c r="S75" s="10" t="str">
        <f t="shared" si="27"/>
        <v>Description= "Created by seeding data",</v>
      </c>
      <c r="T75" s="10" t="str">
        <f t="shared" si="28"/>
        <v>IsActive=true,</v>
      </c>
      <c r="U75" s="10" t="str">
        <f t="shared" si="29"/>
        <v>IsDeleted=false,</v>
      </c>
      <c r="V75" s="10" t="str">
        <f t="shared" si="30"/>
        <v>LastModifiedDate=null,</v>
      </c>
      <c r="W75" s="10" t="str">
        <f t="shared" si="31"/>
        <v>LastModifiedUserId=null</v>
      </c>
      <c r="X75" s="9" t="str">
        <f t="shared" ca="1" si="32"/>
        <v>Id=73,Title="جامائیکا",ParentId=null,Guid=Guid.Parse("64B19CD3-2416-494A-BF23-D368A5EA607C"),CreatedDate=new DateTime (2026,3,25,4,26,24),CreatedUserId=null,Description= "Created by seeding data",IsActive=true,IsDeleted=false,LastModifiedDate=null,LastModifiedUserId=null</v>
      </c>
      <c r="Y75" s="9" t="str">
        <f t="shared" ca="1" si="33"/>
        <v>new State{Id=73,Title="جامائیکا",ParentId=null,Guid=Guid.Parse("64B19CD3-2416-494A-BF23-D368A5EA607C"),CreatedDate=new DateTime (2026,3,25,4,26,24),CreatedUserId=null,Description= "Created by seeding data",IsActive=true,IsDeleted=false,LastModifiedDate=null,LastModifiedUserId=null},</v>
      </c>
    </row>
    <row r="76" spans="1:25" x14ac:dyDescent="0.5">
      <c r="A76" s="1" t="str">
        <f t="shared" si="17"/>
        <v>74,</v>
      </c>
      <c r="B76" s="1" t="s">
        <v>85</v>
      </c>
      <c r="C76" s="1" t="str">
        <f t="shared" si="18"/>
        <v>null,</v>
      </c>
      <c r="D76" s="1" t="s">
        <v>281</v>
      </c>
      <c r="E76" s="1" t="str">
        <f t="shared" ca="1" si="19"/>
        <v>new DateTime (2026,3,25,4,26,24),</v>
      </c>
      <c r="F76" s="1" t="str">
        <f t="shared" si="20"/>
        <v>null,</v>
      </c>
      <c r="G76" s="1" t="s">
        <v>207</v>
      </c>
      <c r="H76" s="1" t="str">
        <f t="shared" si="21"/>
        <v>true,</v>
      </c>
      <c r="I76" s="1" t="str">
        <f t="shared" si="22"/>
        <v>false,</v>
      </c>
      <c r="J76" s="1" t="str">
        <f t="shared" si="23"/>
        <v>null,</v>
      </c>
      <c r="K76" s="1" t="str">
        <f t="shared" si="24"/>
        <v>null</v>
      </c>
      <c r="L76" s="6"/>
      <c r="M76" s="10" t="str">
        <f>_xlfn.TEXTJOIN("=",FALSE,A$2,A76)</f>
        <v>Id=74,</v>
      </c>
      <c r="N76" s="10" t="str">
        <f>_xlfn.TEXTJOIN("=",FALSE,B$2,B76)</f>
        <v>Title="جزایر سلیمان",</v>
      </c>
      <c r="O76" s="10" t="str">
        <f>_xlfn.TEXTJOIN("=",FALSE,C$2,C76)</f>
        <v>ParentId=null,</v>
      </c>
      <c r="P76" s="10" t="str">
        <f>_xlfn.TEXTJOIN("=",FALSE,D$2,D76)</f>
        <v>Guid=Guid.Parse("71670711-68E9-4123-B7CE-C063B3FD910C"),</v>
      </c>
      <c r="Q76" s="10" t="str">
        <f t="shared" ca="1" si="25"/>
        <v>CreatedDate=new DateTime (2026,3,25,4,26,24),</v>
      </c>
      <c r="R76" s="10" t="str">
        <f t="shared" si="26"/>
        <v>CreatedUserId=null,</v>
      </c>
      <c r="S76" s="10" t="str">
        <f t="shared" si="27"/>
        <v>Description= "Created by seeding data",</v>
      </c>
      <c r="T76" s="10" t="str">
        <f t="shared" si="28"/>
        <v>IsActive=true,</v>
      </c>
      <c r="U76" s="10" t="str">
        <f t="shared" si="29"/>
        <v>IsDeleted=false,</v>
      </c>
      <c r="V76" s="10" t="str">
        <f t="shared" si="30"/>
        <v>LastModifiedDate=null,</v>
      </c>
      <c r="W76" s="10" t="str">
        <f t="shared" si="31"/>
        <v>LastModifiedUserId=null</v>
      </c>
      <c r="X76" s="9" t="str">
        <f t="shared" ca="1" si="32"/>
        <v>Id=74,Title="جزایر سلیمان",ParentId=null,Guid=Guid.Parse("71670711-68E9-4123-B7CE-C063B3FD910C"),CreatedDate=new DateTime (2026,3,25,4,26,24),CreatedUserId=null,Description= "Created by seeding data",IsActive=true,IsDeleted=false,LastModifiedDate=null,LastModifiedUserId=null</v>
      </c>
      <c r="Y76" s="9" t="str">
        <f t="shared" ca="1" si="33"/>
        <v>new State{Id=74,Title="جزایر سلیمان",ParentId=null,Guid=Guid.Parse("71670711-68E9-4123-B7CE-C063B3FD910C"),CreatedDate=new DateTime (2026,3,25,4,26,24),CreatedUserId=null,Description= "Created by seeding data",IsActive=true,IsDeleted=false,LastModifiedDate=null,LastModifiedUserId=null},</v>
      </c>
    </row>
    <row r="77" spans="1:25" x14ac:dyDescent="0.5">
      <c r="A77" s="1" t="str">
        <f t="shared" si="17"/>
        <v>75,</v>
      </c>
      <c r="B77" s="1" t="s">
        <v>86</v>
      </c>
      <c r="C77" s="1" t="str">
        <f t="shared" si="18"/>
        <v>null,</v>
      </c>
      <c r="D77" s="1" t="s">
        <v>282</v>
      </c>
      <c r="E77" s="1" t="str">
        <f t="shared" ca="1" si="19"/>
        <v>new DateTime (2026,3,25,4,26,24),</v>
      </c>
      <c r="F77" s="1" t="str">
        <f t="shared" si="20"/>
        <v>null,</v>
      </c>
      <c r="G77" s="1" t="s">
        <v>207</v>
      </c>
      <c r="H77" s="1" t="str">
        <f t="shared" si="21"/>
        <v>true,</v>
      </c>
      <c r="I77" s="1" t="str">
        <f t="shared" si="22"/>
        <v>false,</v>
      </c>
      <c r="J77" s="1" t="str">
        <f t="shared" si="23"/>
        <v>null,</v>
      </c>
      <c r="K77" s="1" t="str">
        <f t="shared" si="24"/>
        <v>null</v>
      </c>
      <c r="L77" s="6"/>
      <c r="M77" s="10" t="str">
        <f>_xlfn.TEXTJOIN("=",FALSE,A$2,A77)</f>
        <v>Id=75,</v>
      </c>
      <c r="N77" s="10" t="str">
        <f>_xlfn.TEXTJOIN("=",FALSE,B$2,B77)</f>
        <v>Title="جزایر مارشال",</v>
      </c>
      <c r="O77" s="10" t="str">
        <f>_xlfn.TEXTJOIN("=",FALSE,C$2,C77)</f>
        <v>ParentId=null,</v>
      </c>
      <c r="P77" s="10" t="str">
        <f>_xlfn.TEXTJOIN("=",FALSE,D$2,D77)</f>
        <v>Guid=Guid.Parse("51B29A7D-31DA-4985-913A-61938AD800FB"),</v>
      </c>
      <c r="Q77" s="10" t="str">
        <f t="shared" ca="1" si="25"/>
        <v>CreatedDate=new DateTime (2026,3,25,4,26,24),</v>
      </c>
      <c r="R77" s="10" t="str">
        <f t="shared" si="26"/>
        <v>CreatedUserId=null,</v>
      </c>
      <c r="S77" s="10" t="str">
        <f t="shared" si="27"/>
        <v>Description= "Created by seeding data",</v>
      </c>
      <c r="T77" s="10" t="str">
        <f t="shared" si="28"/>
        <v>IsActive=true,</v>
      </c>
      <c r="U77" s="10" t="str">
        <f t="shared" si="29"/>
        <v>IsDeleted=false,</v>
      </c>
      <c r="V77" s="10" t="str">
        <f t="shared" si="30"/>
        <v>LastModifiedDate=null,</v>
      </c>
      <c r="W77" s="10" t="str">
        <f t="shared" si="31"/>
        <v>LastModifiedUserId=null</v>
      </c>
      <c r="X77" s="9" t="str">
        <f t="shared" ca="1" si="32"/>
        <v>Id=75,Title="جزایر مارشال",ParentId=null,Guid=Guid.Parse("51B29A7D-31DA-4985-913A-61938AD800FB"),CreatedDate=new DateTime (2026,3,25,4,26,24),CreatedUserId=null,Description= "Created by seeding data",IsActive=true,IsDeleted=false,LastModifiedDate=null,LastModifiedUserId=null</v>
      </c>
      <c r="Y77" s="9" t="str">
        <f t="shared" ca="1" si="33"/>
        <v>new State{Id=75,Title="جزایر مارشال",ParentId=null,Guid=Guid.Parse("51B29A7D-31DA-4985-913A-61938AD800FB"),CreatedDate=new DateTime (2026,3,25,4,26,24),CreatedUserId=null,Description= "Created by seeding data",IsActive=true,IsDeleted=false,LastModifiedDate=null,LastModifiedUserId=null},</v>
      </c>
    </row>
    <row r="78" spans="1:25" x14ac:dyDescent="0.5">
      <c r="A78" s="1" t="str">
        <f t="shared" si="17"/>
        <v>76,</v>
      </c>
      <c r="B78" s="1" t="s">
        <v>87</v>
      </c>
      <c r="C78" s="1" t="str">
        <f t="shared" si="18"/>
        <v>null,</v>
      </c>
      <c r="D78" s="1" t="s">
        <v>283</v>
      </c>
      <c r="E78" s="1" t="str">
        <f t="shared" ca="1" si="19"/>
        <v>new DateTime (2026,3,25,4,26,24),</v>
      </c>
      <c r="F78" s="1" t="str">
        <f t="shared" si="20"/>
        <v>null,</v>
      </c>
      <c r="G78" s="1" t="s">
        <v>207</v>
      </c>
      <c r="H78" s="1" t="str">
        <f t="shared" si="21"/>
        <v>true,</v>
      </c>
      <c r="I78" s="1" t="str">
        <f t="shared" si="22"/>
        <v>false,</v>
      </c>
      <c r="J78" s="1" t="str">
        <f t="shared" si="23"/>
        <v>null,</v>
      </c>
      <c r="K78" s="1" t="str">
        <f t="shared" si="24"/>
        <v>null</v>
      </c>
      <c r="L78" s="6"/>
      <c r="M78" s="10" t="str">
        <f>_xlfn.TEXTJOIN("=",FALSE,A$2,A78)</f>
        <v>Id=76,</v>
      </c>
      <c r="N78" s="10" t="str">
        <f>_xlfn.TEXTJOIN("=",FALSE,B$2,B78)</f>
        <v>Title="جمهوری آفریقای مرکزی",</v>
      </c>
      <c r="O78" s="10" t="str">
        <f>_xlfn.TEXTJOIN("=",FALSE,C$2,C78)</f>
        <v>ParentId=null,</v>
      </c>
      <c r="P78" s="10" t="str">
        <f>_xlfn.TEXTJOIN("=",FALSE,D$2,D78)</f>
        <v>Guid=Guid.Parse("8907D046-60FB-4029-83E1-76FDB247A47E"),</v>
      </c>
      <c r="Q78" s="10" t="str">
        <f t="shared" ca="1" si="25"/>
        <v>CreatedDate=new DateTime (2026,3,25,4,26,24),</v>
      </c>
      <c r="R78" s="10" t="str">
        <f t="shared" si="26"/>
        <v>CreatedUserId=null,</v>
      </c>
      <c r="S78" s="10" t="str">
        <f t="shared" si="27"/>
        <v>Description= "Created by seeding data",</v>
      </c>
      <c r="T78" s="10" t="str">
        <f t="shared" si="28"/>
        <v>IsActive=true,</v>
      </c>
      <c r="U78" s="10" t="str">
        <f t="shared" si="29"/>
        <v>IsDeleted=false,</v>
      </c>
      <c r="V78" s="10" t="str">
        <f t="shared" si="30"/>
        <v>LastModifiedDate=null,</v>
      </c>
      <c r="W78" s="10" t="str">
        <f t="shared" si="31"/>
        <v>LastModifiedUserId=null</v>
      </c>
      <c r="X78" s="9" t="str">
        <f t="shared" ca="1" si="32"/>
        <v>Id=76,Title="جمهوری آفریقای مرکزی",ParentId=null,Guid=Guid.Parse("8907D046-60FB-4029-83E1-76FDB247A47E"),CreatedDate=new DateTime (2026,3,25,4,26,24),CreatedUserId=null,Description= "Created by seeding data",IsActive=true,IsDeleted=false,LastModifiedDate=null,LastModifiedUserId=null</v>
      </c>
      <c r="Y78" s="9" t="str">
        <f t="shared" ca="1" si="33"/>
        <v>new State{Id=76,Title="جمهوری آفریقای مرکزی",ParentId=null,Guid=Guid.Parse("8907D046-60FB-4029-83E1-76FDB247A47E"),CreatedDate=new DateTime (2026,3,25,4,26,24),CreatedUserId=null,Description= "Created by seeding data",IsActive=true,IsDeleted=false,LastModifiedDate=null,LastModifiedUserId=null},</v>
      </c>
    </row>
    <row r="79" spans="1:25" x14ac:dyDescent="0.5">
      <c r="A79" s="1" t="str">
        <f t="shared" si="17"/>
        <v>77,</v>
      </c>
      <c r="B79" s="1" t="s">
        <v>88</v>
      </c>
      <c r="C79" s="1" t="str">
        <f t="shared" si="18"/>
        <v>null,</v>
      </c>
      <c r="D79" s="1" t="s">
        <v>284</v>
      </c>
      <c r="E79" s="1" t="str">
        <f t="shared" ca="1" si="19"/>
        <v>new DateTime (2026,3,25,4,26,24),</v>
      </c>
      <c r="F79" s="1" t="str">
        <f t="shared" si="20"/>
        <v>null,</v>
      </c>
      <c r="G79" s="1" t="s">
        <v>207</v>
      </c>
      <c r="H79" s="1" t="str">
        <f t="shared" si="21"/>
        <v>true,</v>
      </c>
      <c r="I79" s="1" t="str">
        <f t="shared" si="22"/>
        <v>false,</v>
      </c>
      <c r="J79" s="1" t="str">
        <f t="shared" si="23"/>
        <v>null,</v>
      </c>
      <c r="K79" s="1" t="str">
        <f t="shared" si="24"/>
        <v>null</v>
      </c>
      <c r="L79" s="6"/>
      <c r="M79" s="10" t="str">
        <f>_xlfn.TEXTJOIN("=",FALSE,A$2,A79)</f>
        <v>Id=77,</v>
      </c>
      <c r="N79" s="10" t="str">
        <f>_xlfn.TEXTJOIN("=",FALSE,B$2,B79)</f>
        <v>Title="جمهوری چک",</v>
      </c>
      <c r="O79" s="10" t="str">
        <f>_xlfn.TEXTJOIN("=",FALSE,C$2,C79)</f>
        <v>ParentId=null,</v>
      </c>
      <c r="P79" s="10" t="str">
        <f>_xlfn.TEXTJOIN("=",FALSE,D$2,D79)</f>
        <v>Guid=Guid.Parse("8BBA3AB9-94B4-4D05-B1A3-C8FE0EC31FCA"),</v>
      </c>
      <c r="Q79" s="10" t="str">
        <f t="shared" ca="1" si="25"/>
        <v>CreatedDate=new DateTime (2026,3,25,4,26,24),</v>
      </c>
      <c r="R79" s="10" t="str">
        <f t="shared" si="26"/>
        <v>CreatedUserId=null,</v>
      </c>
      <c r="S79" s="10" t="str">
        <f t="shared" si="27"/>
        <v>Description= "Created by seeding data",</v>
      </c>
      <c r="T79" s="10" t="str">
        <f t="shared" si="28"/>
        <v>IsActive=true,</v>
      </c>
      <c r="U79" s="10" t="str">
        <f t="shared" si="29"/>
        <v>IsDeleted=false,</v>
      </c>
      <c r="V79" s="10" t="str">
        <f t="shared" si="30"/>
        <v>LastModifiedDate=null,</v>
      </c>
      <c r="W79" s="10" t="str">
        <f t="shared" si="31"/>
        <v>LastModifiedUserId=null</v>
      </c>
      <c r="X79" s="9" t="str">
        <f t="shared" ca="1" si="32"/>
        <v>Id=77,Title="جمهوری چک",ParentId=null,Guid=Guid.Parse("8BBA3AB9-94B4-4D05-B1A3-C8FE0EC31FCA"),CreatedDate=new DateTime (2026,3,25,4,26,24),CreatedUserId=null,Description= "Created by seeding data",IsActive=true,IsDeleted=false,LastModifiedDate=null,LastModifiedUserId=null</v>
      </c>
      <c r="Y79" s="9" t="str">
        <f t="shared" ca="1" si="33"/>
        <v>new State{Id=77,Title="جمهوری چک",ParentId=null,Guid=Guid.Parse("8BBA3AB9-94B4-4D05-B1A3-C8FE0EC31FCA"),CreatedDate=new DateTime (2026,3,25,4,26,24),CreatedUserId=null,Description= "Created by seeding data",IsActive=true,IsDeleted=false,LastModifiedDate=null,LastModifiedUserId=null},</v>
      </c>
    </row>
    <row r="80" spans="1:25" x14ac:dyDescent="0.5">
      <c r="A80" s="1" t="str">
        <f t="shared" si="17"/>
        <v>78,</v>
      </c>
      <c r="B80" s="1" t="s">
        <v>89</v>
      </c>
      <c r="C80" s="1" t="str">
        <f t="shared" si="18"/>
        <v>null,</v>
      </c>
      <c r="D80" s="1" t="s">
        <v>285</v>
      </c>
      <c r="E80" s="1" t="str">
        <f t="shared" ca="1" si="19"/>
        <v>new DateTime (2026,3,25,4,26,24),</v>
      </c>
      <c r="F80" s="1" t="str">
        <f t="shared" si="20"/>
        <v>null,</v>
      </c>
      <c r="G80" s="1" t="s">
        <v>207</v>
      </c>
      <c r="H80" s="1" t="str">
        <f t="shared" si="21"/>
        <v>true,</v>
      </c>
      <c r="I80" s="1" t="str">
        <f t="shared" si="22"/>
        <v>false,</v>
      </c>
      <c r="J80" s="1" t="str">
        <f t="shared" si="23"/>
        <v>null,</v>
      </c>
      <c r="K80" s="1" t="str">
        <f t="shared" si="24"/>
        <v>null</v>
      </c>
      <c r="L80" s="6"/>
      <c r="M80" s="10" t="str">
        <f>_xlfn.TEXTJOIN("=",FALSE,A$2,A80)</f>
        <v>Id=78,</v>
      </c>
      <c r="N80" s="10" t="str">
        <f>_xlfn.TEXTJOIN("=",FALSE,B$2,B80)</f>
        <v>Title="جمهوری دموکراتیک کنگو",</v>
      </c>
      <c r="O80" s="10" t="str">
        <f>_xlfn.TEXTJOIN("=",FALSE,C$2,C80)</f>
        <v>ParentId=null,</v>
      </c>
      <c r="P80" s="10" t="str">
        <f>_xlfn.TEXTJOIN("=",FALSE,D$2,D80)</f>
        <v>Guid=Guid.Parse("9454E54F-8B7F-4A85-9156-1ED7013D6554"),</v>
      </c>
      <c r="Q80" s="10" t="str">
        <f t="shared" ca="1" si="25"/>
        <v>CreatedDate=new DateTime (2026,3,25,4,26,24),</v>
      </c>
      <c r="R80" s="10" t="str">
        <f t="shared" si="26"/>
        <v>CreatedUserId=null,</v>
      </c>
      <c r="S80" s="10" t="str">
        <f t="shared" si="27"/>
        <v>Description= "Created by seeding data",</v>
      </c>
      <c r="T80" s="10" t="str">
        <f t="shared" si="28"/>
        <v>IsActive=true,</v>
      </c>
      <c r="U80" s="10" t="str">
        <f t="shared" si="29"/>
        <v>IsDeleted=false,</v>
      </c>
      <c r="V80" s="10" t="str">
        <f t="shared" si="30"/>
        <v>LastModifiedDate=null,</v>
      </c>
      <c r="W80" s="10" t="str">
        <f t="shared" si="31"/>
        <v>LastModifiedUserId=null</v>
      </c>
      <c r="X80" s="9" t="str">
        <f t="shared" ca="1" si="32"/>
        <v>Id=78,Title="جمهوری دموکراتیک کنگو",ParentId=null,Guid=Guid.Parse("9454E54F-8B7F-4A85-9156-1ED7013D6554"),CreatedDate=new DateTime (2026,3,25,4,26,24),CreatedUserId=null,Description= "Created by seeding data",IsActive=true,IsDeleted=false,LastModifiedDate=null,LastModifiedUserId=null</v>
      </c>
      <c r="Y80" s="9" t="str">
        <f t="shared" ca="1" si="33"/>
        <v>new State{Id=78,Title="جمهوری دموکراتیک کنگو",ParentId=null,Guid=Guid.Parse("9454E54F-8B7F-4A85-9156-1ED7013D6554"),CreatedDate=new DateTime (2026,3,25,4,26,24),CreatedUserId=null,Description= "Created by seeding data",IsActive=true,IsDeleted=false,LastModifiedDate=null,LastModifiedUserId=null},</v>
      </c>
    </row>
    <row r="81" spans="1:25" x14ac:dyDescent="0.5">
      <c r="A81" s="1" t="str">
        <f t="shared" si="17"/>
        <v>79,</v>
      </c>
      <c r="B81" s="1" t="s">
        <v>90</v>
      </c>
      <c r="C81" s="1" t="str">
        <f t="shared" si="18"/>
        <v>null,</v>
      </c>
      <c r="D81" s="1" t="s">
        <v>286</v>
      </c>
      <c r="E81" s="1" t="str">
        <f t="shared" ca="1" si="19"/>
        <v>new DateTime (2026,3,25,4,26,24),</v>
      </c>
      <c r="F81" s="1" t="str">
        <f t="shared" si="20"/>
        <v>null,</v>
      </c>
      <c r="G81" s="1" t="s">
        <v>207</v>
      </c>
      <c r="H81" s="1" t="str">
        <f t="shared" si="21"/>
        <v>true,</v>
      </c>
      <c r="I81" s="1" t="str">
        <f t="shared" si="22"/>
        <v>false,</v>
      </c>
      <c r="J81" s="1" t="str">
        <f t="shared" si="23"/>
        <v>null,</v>
      </c>
      <c r="K81" s="1" t="str">
        <f t="shared" si="24"/>
        <v>null</v>
      </c>
      <c r="L81" s="6"/>
      <c r="M81" s="10" t="str">
        <f>_xlfn.TEXTJOIN("=",FALSE,A$2,A81)</f>
        <v>Id=79,</v>
      </c>
      <c r="N81" s="10" t="str">
        <f>_xlfn.TEXTJOIN("=",FALSE,B$2,B81)</f>
        <v>Title="جمهوری دومینیکن",</v>
      </c>
      <c r="O81" s="10" t="str">
        <f>_xlfn.TEXTJOIN("=",FALSE,C$2,C81)</f>
        <v>ParentId=null,</v>
      </c>
      <c r="P81" s="10" t="str">
        <f>_xlfn.TEXTJOIN("=",FALSE,D$2,D81)</f>
        <v>Guid=Guid.Parse("534A678B-4DE4-46F6-B2EA-E54D4C1C4D77"),</v>
      </c>
      <c r="Q81" s="10" t="str">
        <f t="shared" ca="1" si="25"/>
        <v>CreatedDate=new DateTime (2026,3,25,4,26,24),</v>
      </c>
      <c r="R81" s="10" t="str">
        <f t="shared" si="26"/>
        <v>CreatedUserId=null,</v>
      </c>
      <c r="S81" s="10" t="str">
        <f t="shared" si="27"/>
        <v>Description= "Created by seeding data",</v>
      </c>
      <c r="T81" s="10" t="str">
        <f t="shared" si="28"/>
        <v>IsActive=true,</v>
      </c>
      <c r="U81" s="10" t="str">
        <f t="shared" si="29"/>
        <v>IsDeleted=false,</v>
      </c>
      <c r="V81" s="10" t="str">
        <f t="shared" si="30"/>
        <v>LastModifiedDate=null,</v>
      </c>
      <c r="W81" s="10" t="str">
        <f t="shared" si="31"/>
        <v>LastModifiedUserId=null</v>
      </c>
      <c r="X81" s="9" t="str">
        <f t="shared" ca="1" si="32"/>
        <v>Id=79,Title="جمهوری دومینیکن",ParentId=null,Guid=Guid.Parse("534A678B-4DE4-46F6-B2EA-E54D4C1C4D77"),CreatedDate=new DateTime (2026,3,25,4,26,24),CreatedUserId=null,Description= "Created by seeding data",IsActive=true,IsDeleted=false,LastModifiedDate=null,LastModifiedUserId=null</v>
      </c>
      <c r="Y81" s="9" t="str">
        <f t="shared" ca="1" si="33"/>
        <v>new State{Id=79,Title="جمهوری دومینیکن",ParentId=null,Guid=Guid.Parse("534A678B-4DE4-46F6-B2EA-E54D4C1C4D77"),CreatedDate=new DateTime (2026,3,25,4,26,24),CreatedUserId=null,Description= "Created by seeding data",IsActive=true,IsDeleted=false,LastModifiedDate=null,LastModifiedUserId=null},</v>
      </c>
    </row>
    <row r="82" spans="1:25" x14ac:dyDescent="0.5">
      <c r="A82" s="1" t="str">
        <f t="shared" si="17"/>
        <v>80,</v>
      </c>
      <c r="B82" s="1" t="s">
        <v>91</v>
      </c>
      <c r="C82" s="1" t="str">
        <f t="shared" si="18"/>
        <v>null,</v>
      </c>
      <c r="D82" s="1" t="s">
        <v>287</v>
      </c>
      <c r="E82" s="1" t="str">
        <f t="shared" ca="1" si="19"/>
        <v>new DateTime (2026,3,25,4,26,24),</v>
      </c>
      <c r="F82" s="1" t="str">
        <f t="shared" si="20"/>
        <v>null,</v>
      </c>
      <c r="G82" s="1" t="s">
        <v>207</v>
      </c>
      <c r="H82" s="1" t="str">
        <f t="shared" si="21"/>
        <v>true,</v>
      </c>
      <c r="I82" s="1" t="str">
        <f t="shared" si="22"/>
        <v>false,</v>
      </c>
      <c r="J82" s="1" t="str">
        <f t="shared" si="23"/>
        <v>null,</v>
      </c>
      <c r="K82" s="1" t="str">
        <f t="shared" si="24"/>
        <v>null</v>
      </c>
      <c r="L82" s="6"/>
      <c r="M82" s="10" t="str">
        <f>_xlfn.TEXTJOIN("=",FALSE,A$2,A82)</f>
        <v>Id=80,</v>
      </c>
      <c r="N82" s="10" t="str">
        <f>_xlfn.TEXTJOIN("=",FALSE,B$2,B82)</f>
        <v>Title="جیبوتی",</v>
      </c>
      <c r="O82" s="10" t="str">
        <f>_xlfn.TEXTJOIN("=",FALSE,C$2,C82)</f>
        <v>ParentId=null,</v>
      </c>
      <c r="P82" s="10" t="str">
        <f>_xlfn.TEXTJOIN("=",FALSE,D$2,D82)</f>
        <v>Guid=Guid.Parse("E8926DA2-654D-4D6B-B0E2-9F680D3C12AE"),</v>
      </c>
      <c r="Q82" s="10" t="str">
        <f t="shared" ca="1" si="25"/>
        <v>CreatedDate=new DateTime (2026,3,25,4,26,24),</v>
      </c>
      <c r="R82" s="10" t="str">
        <f t="shared" si="26"/>
        <v>CreatedUserId=null,</v>
      </c>
      <c r="S82" s="10" t="str">
        <f t="shared" si="27"/>
        <v>Description= "Created by seeding data",</v>
      </c>
      <c r="T82" s="10" t="str">
        <f t="shared" si="28"/>
        <v>IsActive=true,</v>
      </c>
      <c r="U82" s="10" t="str">
        <f t="shared" si="29"/>
        <v>IsDeleted=false,</v>
      </c>
      <c r="V82" s="10" t="str">
        <f t="shared" si="30"/>
        <v>LastModifiedDate=null,</v>
      </c>
      <c r="W82" s="10" t="str">
        <f t="shared" si="31"/>
        <v>LastModifiedUserId=null</v>
      </c>
      <c r="X82" s="9" t="str">
        <f t="shared" ca="1" si="32"/>
        <v>Id=80,Title="جیبوتی",ParentId=null,Guid=Guid.Parse("E8926DA2-654D-4D6B-B0E2-9F680D3C12AE"),CreatedDate=new DateTime (2026,3,25,4,26,24),CreatedUserId=null,Description= "Created by seeding data",IsActive=true,IsDeleted=false,LastModifiedDate=null,LastModifiedUserId=null</v>
      </c>
      <c r="Y82" s="9" t="str">
        <f t="shared" ca="1" si="33"/>
        <v>new State{Id=80,Title="جیبوتی",ParentId=null,Guid=Guid.Parse("E8926DA2-654D-4D6B-B0E2-9F680D3C12AE"),CreatedDate=new DateTime (2026,3,25,4,26,24),CreatedUserId=null,Description= "Created by seeding data",IsActive=true,IsDeleted=false,LastModifiedDate=null,LastModifiedUserId=null},</v>
      </c>
    </row>
    <row r="83" spans="1:25" x14ac:dyDescent="0.5">
      <c r="A83" s="1" t="str">
        <f t="shared" si="17"/>
        <v>81,</v>
      </c>
      <c r="B83" s="1" t="s">
        <v>92</v>
      </c>
      <c r="C83" s="1" t="str">
        <f t="shared" si="18"/>
        <v>null,</v>
      </c>
      <c r="D83" s="1" t="s">
        <v>288</v>
      </c>
      <c r="E83" s="1" t="str">
        <f t="shared" ca="1" si="19"/>
        <v>new DateTime (2026,3,25,4,26,24),</v>
      </c>
      <c r="F83" s="1" t="str">
        <f t="shared" si="20"/>
        <v>null,</v>
      </c>
      <c r="G83" s="1" t="s">
        <v>207</v>
      </c>
      <c r="H83" s="1" t="str">
        <f t="shared" si="21"/>
        <v>true,</v>
      </c>
      <c r="I83" s="1" t="str">
        <f t="shared" si="22"/>
        <v>false,</v>
      </c>
      <c r="J83" s="1" t="str">
        <f t="shared" si="23"/>
        <v>null,</v>
      </c>
      <c r="K83" s="1" t="str">
        <f t="shared" si="24"/>
        <v>null</v>
      </c>
      <c r="L83" s="6"/>
      <c r="M83" s="10" t="str">
        <f>_xlfn.TEXTJOIN("=",FALSE,A$2,A83)</f>
        <v>Id=81,</v>
      </c>
      <c r="N83" s="10" t="str">
        <f>_xlfn.TEXTJOIN("=",FALSE,B$2,B83)</f>
        <v>Title="چاد",</v>
      </c>
      <c r="O83" s="10" t="str">
        <f>_xlfn.TEXTJOIN("=",FALSE,C$2,C83)</f>
        <v>ParentId=null,</v>
      </c>
      <c r="P83" s="10" t="str">
        <f>_xlfn.TEXTJOIN("=",FALSE,D$2,D83)</f>
        <v>Guid=Guid.Parse("944C7C9F-8A26-444F-8A7E-FACF94051EAC"),</v>
      </c>
      <c r="Q83" s="10" t="str">
        <f t="shared" ca="1" si="25"/>
        <v>CreatedDate=new DateTime (2026,3,25,4,26,24),</v>
      </c>
      <c r="R83" s="10" t="str">
        <f t="shared" si="26"/>
        <v>CreatedUserId=null,</v>
      </c>
      <c r="S83" s="10" t="str">
        <f t="shared" si="27"/>
        <v>Description= "Created by seeding data",</v>
      </c>
      <c r="T83" s="10" t="str">
        <f t="shared" si="28"/>
        <v>IsActive=true,</v>
      </c>
      <c r="U83" s="10" t="str">
        <f t="shared" si="29"/>
        <v>IsDeleted=false,</v>
      </c>
      <c r="V83" s="10" t="str">
        <f t="shared" si="30"/>
        <v>LastModifiedDate=null,</v>
      </c>
      <c r="W83" s="10" t="str">
        <f t="shared" si="31"/>
        <v>LastModifiedUserId=null</v>
      </c>
      <c r="X83" s="9" t="str">
        <f t="shared" ca="1" si="32"/>
        <v>Id=81,Title="چاد",ParentId=null,Guid=Guid.Parse("944C7C9F-8A26-444F-8A7E-FACF94051EAC"),CreatedDate=new DateTime (2026,3,25,4,26,24),CreatedUserId=null,Description= "Created by seeding data",IsActive=true,IsDeleted=false,LastModifiedDate=null,LastModifiedUserId=null</v>
      </c>
      <c r="Y83" s="9" t="str">
        <f t="shared" ca="1" si="33"/>
        <v>new State{Id=81,Title="چاد",ParentId=null,Guid=Guid.Parse("944C7C9F-8A26-444F-8A7E-FACF94051EAC"),CreatedDate=new DateTime (2026,3,25,4,26,24),CreatedUserId=null,Description= "Created by seeding data",IsActive=true,IsDeleted=false,LastModifiedDate=null,LastModifiedUserId=null},</v>
      </c>
    </row>
    <row r="84" spans="1:25" x14ac:dyDescent="0.5">
      <c r="A84" s="1" t="str">
        <f t="shared" si="17"/>
        <v>82,</v>
      </c>
      <c r="B84" s="1" t="s">
        <v>93</v>
      </c>
      <c r="C84" s="1" t="str">
        <f t="shared" si="18"/>
        <v>null,</v>
      </c>
      <c r="D84" s="1" t="s">
        <v>289</v>
      </c>
      <c r="E84" s="1" t="str">
        <f t="shared" ca="1" si="19"/>
        <v>new DateTime (2026,3,25,4,26,24),</v>
      </c>
      <c r="F84" s="1" t="str">
        <f t="shared" si="20"/>
        <v>null,</v>
      </c>
      <c r="G84" s="1" t="s">
        <v>207</v>
      </c>
      <c r="H84" s="1" t="str">
        <f t="shared" si="21"/>
        <v>true,</v>
      </c>
      <c r="I84" s="1" t="str">
        <f t="shared" si="22"/>
        <v>false,</v>
      </c>
      <c r="J84" s="1" t="str">
        <f t="shared" si="23"/>
        <v>null,</v>
      </c>
      <c r="K84" s="1" t="str">
        <f t="shared" si="24"/>
        <v>null</v>
      </c>
      <c r="L84" s="6"/>
      <c r="M84" s="10" t="str">
        <f>_xlfn.TEXTJOIN("=",FALSE,A$2,A84)</f>
        <v>Id=82,</v>
      </c>
      <c r="N84" s="10" t="str">
        <f>_xlfn.TEXTJOIN("=",FALSE,B$2,B84)</f>
        <v>Title="چین",</v>
      </c>
      <c r="O84" s="10" t="str">
        <f>_xlfn.TEXTJOIN("=",FALSE,C$2,C84)</f>
        <v>ParentId=null,</v>
      </c>
      <c r="P84" s="10" t="str">
        <f>_xlfn.TEXTJOIN("=",FALSE,D$2,D84)</f>
        <v>Guid=Guid.Parse("596B2813-6A09-4929-818E-408B8435334B"),</v>
      </c>
      <c r="Q84" s="10" t="str">
        <f t="shared" ca="1" si="25"/>
        <v>CreatedDate=new DateTime (2026,3,25,4,26,24),</v>
      </c>
      <c r="R84" s="10" t="str">
        <f t="shared" si="26"/>
        <v>CreatedUserId=null,</v>
      </c>
      <c r="S84" s="10" t="str">
        <f t="shared" si="27"/>
        <v>Description= "Created by seeding data",</v>
      </c>
      <c r="T84" s="10" t="str">
        <f t="shared" si="28"/>
        <v>IsActive=true,</v>
      </c>
      <c r="U84" s="10" t="str">
        <f t="shared" si="29"/>
        <v>IsDeleted=false,</v>
      </c>
      <c r="V84" s="10" t="str">
        <f t="shared" si="30"/>
        <v>LastModifiedDate=null,</v>
      </c>
      <c r="W84" s="10" t="str">
        <f t="shared" si="31"/>
        <v>LastModifiedUserId=null</v>
      </c>
      <c r="X84" s="9" t="str">
        <f t="shared" ca="1" si="32"/>
        <v>Id=82,Title="چین",ParentId=null,Guid=Guid.Parse("596B2813-6A09-4929-818E-408B8435334B"),CreatedDate=new DateTime (2026,3,25,4,26,24),CreatedUserId=null,Description= "Created by seeding data",IsActive=true,IsDeleted=false,LastModifiedDate=null,LastModifiedUserId=null</v>
      </c>
      <c r="Y84" s="9" t="str">
        <f t="shared" ca="1" si="33"/>
        <v>new State{Id=82,Title="چین",ParentId=null,Guid=Guid.Parse("596B2813-6A09-4929-818E-408B8435334B"),CreatedDate=new DateTime (2026,3,25,4,26,24),CreatedUserId=null,Description= "Created by seeding data",IsActive=true,IsDeleted=false,LastModifiedDate=null,LastModifiedUserId=null},</v>
      </c>
    </row>
    <row r="85" spans="1:25" x14ac:dyDescent="0.5">
      <c r="A85" s="1" t="str">
        <f t="shared" si="17"/>
        <v>83,</v>
      </c>
      <c r="B85" s="1" t="s">
        <v>94</v>
      </c>
      <c r="C85" s="1" t="str">
        <f t="shared" si="18"/>
        <v>null,</v>
      </c>
      <c r="D85" s="1" t="s">
        <v>290</v>
      </c>
      <c r="E85" s="1" t="str">
        <f t="shared" ca="1" si="19"/>
        <v>new DateTime (2026,3,25,4,26,24),</v>
      </c>
      <c r="F85" s="1" t="str">
        <f t="shared" si="20"/>
        <v>null,</v>
      </c>
      <c r="G85" s="1" t="s">
        <v>207</v>
      </c>
      <c r="H85" s="1" t="str">
        <f t="shared" si="21"/>
        <v>true,</v>
      </c>
      <c r="I85" s="1" t="str">
        <f t="shared" si="22"/>
        <v>false,</v>
      </c>
      <c r="J85" s="1" t="str">
        <f t="shared" si="23"/>
        <v>null,</v>
      </c>
      <c r="K85" s="1" t="str">
        <f t="shared" si="24"/>
        <v>null</v>
      </c>
      <c r="L85" s="6"/>
      <c r="M85" s="10" t="str">
        <f>_xlfn.TEXTJOIN("=",FALSE,A$2,A85)</f>
        <v>Id=83,</v>
      </c>
      <c r="N85" s="10" t="str">
        <f>_xlfn.TEXTJOIN("=",FALSE,B$2,B85)</f>
        <v>Title="دانمارک",</v>
      </c>
      <c r="O85" s="10" t="str">
        <f>_xlfn.TEXTJOIN("=",FALSE,C$2,C85)</f>
        <v>ParentId=null,</v>
      </c>
      <c r="P85" s="10" t="str">
        <f>_xlfn.TEXTJOIN("=",FALSE,D$2,D85)</f>
        <v>Guid=Guid.Parse("C9419815-19F5-40E6-A8B4-AA5ABCF168DB"),</v>
      </c>
      <c r="Q85" s="10" t="str">
        <f t="shared" ca="1" si="25"/>
        <v>CreatedDate=new DateTime (2026,3,25,4,26,24),</v>
      </c>
      <c r="R85" s="10" t="str">
        <f t="shared" si="26"/>
        <v>CreatedUserId=null,</v>
      </c>
      <c r="S85" s="10" t="str">
        <f t="shared" si="27"/>
        <v>Description= "Created by seeding data",</v>
      </c>
      <c r="T85" s="10" t="str">
        <f t="shared" si="28"/>
        <v>IsActive=true,</v>
      </c>
      <c r="U85" s="10" t="str">
        <f t="shared" si="29"/>
        <v>IsDeleted=false,</v>
      </c>
      <c r="V85" s="10" t="str">
        <f t="shared" si="30"/>
        <v>LastModifiedDate=null,</v>
      </c>
      <c r="W85" s="10" t="str">
        <f t="shared" si="31"/>
        <v>LastModifiedUserId=null</v>
      </c>
      <c r="X85" s="9" t="str">
        <f t="shared" ca="1" si="32"/>
        <v>Id=83,Title="دانمارک",ParentId=null,Guid=Guid.Parse("C9419815-19F5-40E6-A8B4-AA5ABCF168DB"),CreatedDate=new DateTime (2026,3,25,4,26,24),CreatedUserId=null,Description= "Created by seeding data",IsActive=true,IsDeleted=false,LastModifiedDate=null,LastModifiedUserId=null</v>
      </c>
      <c r="Y85" s="9" t="str">
        <f t="shared" ca="1" si="33"/>
        <v>new State{Id=83,Title="دانمارک",ParentId=null,Guid=Guid.Parse("C9419815-19F5-40E6-A8B4-AA5ABCF168DB"),CreatedDate=new DateTime (2026,3,25,4,26,24),CreatedUserId=null,Description= "Created by seeding data",IsActive=true,IsDeleted=false,LastModifiedDate=null,LastModifiedUserId=null},</v>
      </c>
    </row>
    <row r="86" spans="1:25" x14ac:dyDescent="0.5">
      <c r="A86" s="1" t="str">
        <f t="shared" si="17"/>
        <v>84,</v>
      </c>
      <c r="B86" s="1" t="s">
        <v>95</v>
      </c>
      <c r="C86" s="1" t="str">
        <f t="shared" si="18"/>
        <v>null,</v>
      </c>
      <c r="D86" s="1" t="s">
        <v>291</v>
      </c>
      <c r="E86" s="1" t="str">
        <f t="shared" ca="1" si="19"/>
        <v>new DateTime (2026,3,25,4,26,24),</v>
      </c>
      <c r="F86" s="1" t="str">
        <f t="shared" si="20"/>
        <v>null,</v>
      </c>
      <c r="G86" s="1" t="s">
        <v>207</v>
      </c>
      <c r="H86" s="1" t="str">
        <f t="shared" si="21"/>
        <v>true,</v>
      </c>
      <c r="I86" s="1" t="str">
        <f t="shared" si="22"/>
        <v>false,</v>
      </c>
      <c r="J86" s="1" t="str">
        <f t="shared" si="23"/>
        <v>null,</v>
      </c>
      <c r="K86" s="1" t="str">
        <f t="shared" si="24"/>
        <v>null</v>
      </c>
      <c r="L86" s="6"/>
      <c r="M86" s="10" t="str">
        <f>_xlfn.TEXTJOIN("=",FALSE,A$2,A86)</f>
        <v>Id=84,</v>
      </c>
      <c r="N86" s="10" t="str">
        <f>_xlfn.TEXTJOIN("=",FALSE,B$2,B86)</f>
        <v>Title="دومینیکا",</v>
      </c>
      <c r="O86" s="10" t="str">
        <f>_xlfn.TEXTJOIN("=",FALSE,C$2,C86)</f>
        <v>ParentId=null,</v>
      </c>
      <c r="P86" s="10" t="str">
        <f>_xlfn.TEXTJOIN("=",FALSE,D$2,D86)</f>
        <v>Guid=Guid.Parse("72943D44-301B-4A4D-A4A7-7553A476EE30"),</v>
      </c>
      <c r="Q86" s="10" t="str">
        <f t="shared" ca="1" si="25"/>
        <v>CreatedDate=new DateTime (2026,3,25,4,26,24),</v>
      </c>
      <c r="R86" s="10" t="str">
        <f t="shared" si="26"/>
        <v>CreatedUserId=null,</v>
      </c>
      <c r="S86" s="10" t="str">
        <f t="shared" si="27"/>
        <v>Description= "Created by seeding data",</v>
      </c>
      <c r="T86" s="10" t="str">
        <f t="shared" si="28"/>
        <v>IsActive=true,</v>
      </c>
      <c r="U86" s="10" t="str">
        <f t="shared" si="29"/>
        <v>IsDeleted=false,</v>
      </c>
      <c r="V86" s="10" t="str">
        <f t="shared" si="30"/>
        <v>LastModifiedDate=null,</v>
      </c>
      <c r="W86" s="10" t="str">
        <f t="shared" si="31"/>
        <v>LastModifiedUserId=null</v>
      </c>
      <c r="X86" s="9" t="str">
        <f t="shared" ca="1" si="32"/>
        <v>Id=84,Title="دومینیکا",ParentId=null,Guid=Guid.Parse("72943D44-301B-4A4D-A4A7-7553A476EE30"),CreatedDate=new DateTime (2026,3,25,4,26,24),CreatedUserId=null,Description= "Created by seeding data",IsActive=true,IsDeleted=false,LastModifiedDate=null,LastModifiedUserId=null</v>
      </c>
      <c r="Y86" s="9" t="str">
        <f t="shared" ca="1" si="33"/>
        <v>new State{Id=84,Title="دومینیکا",ParentId=null,Guid=Guid.Parse("72943D44-301B-4A4D-A4A7-7553A476EE30"),CreatedDate=new DateTime (2026,3,25,4,26,24),CreatedUserId=null,Description= "Created by seeding data",IsActive=true,IsDeleted=false,LastModifiedDate=null,LastModifiedUserId=null},</v>
      </c>
    </row>
    <row r="87" spans="1:25" x14ac:dyDescent="0.5">
      <c r="A87" s="1" t="str">
        <f t="shared" si="17"/>
        <v>85,</v>
      </c>
      <c r="B87" s="1" t="s">
        <v>96</v>
      </c>
      <c r="C87" s="1" t="str">
        <f t="shared" si="18"/>
        <v>null,</v>
      </c>
      <c r="D87" s="1" t="s">
        <v>292</v>
      </c>
      <c r="E87" s="1" t="str">
        <f t="shared" ca="1" si="19"/>
        <v>new DateTime (2026,3,25,4,26,24),</v>
      </c>
      <c r="F87" s="1" t="str">
        <f t="shared" si="20"/>
        <v>null,</v>
      </c>
      <c r="G87" s="1" t="s">
        <v>207</v>
      </c>
      <c r="H87" s="1" t="str">
        <f t="shared" si="21"/>
        <v>true,</v>
      </c>
      <c r="I87" s="1" t="str">
        <f t="shared" si="22"/>
        <v>false,</v>
      </c>
      <c r="J87" s="1" t="str">
        <f t="shared" si="23"/>
        <v>null,</v>
      </c>
      <c r="K87" s="1" t="str">
        <f t="shared" si="24"/>
        <v>null</v>
      </c>
      <c r="L87" s="6"/>
      <c r="M87" s="10" t="str">
        <f>_xlfn.TEXTJOIN("=",FALSE,A$2,A87)</f>
        <v>Id=85,</v>
      </c>
      <c r="N87" s="10" t="str">
        <f>_xlfn.TEXTJOIN("=",FALSE,B$2,B87)</f>
        <v>Title="رواندا",</v>
      </c>
      <c r="O87" s="10" t="str">
        <f>_xlfn.TEXTJOIN("=",FALSE,C$2,C87)</f>
        <v>ParentId=null,</v>
      </c>
      <c r="P87" s="10" t="str">
        <f>_xlfn.TEXTJOIN("=",FALSE,D$2,D87)</f>
        <v>Guid=Guid.Parse("63E77FD3-401F-4537-A08D-3F0C9BE56C57"),</v>
      </c>
      <c r="Q87" s="10" t="str">
        <f t="shared" ca="1" si="25"/>
        <v>CreatedDate=new DateTime (2026,3,25,4,26,24),</v>
      </c>
      <c r="R87" s="10" t="str">
        <f t="shared" si="26"/>
        <v>CreatedUserId=null,</v>
      </c>
      <c r="S87" s="10" t="str">
        <f t="shared" si="27"/>
        <v>Description= "Created by seeding data",</v>
      </c>
      <c r="T87" s="10" t="str">
        <f t="shared" si="28"/>
        <v>IsActive=true,</v>
      </c>
      <c r="U87" s="10" t="str">
        <f t="shared" si="29"/>
        <v>IsDeleted=false,</v>
      </c>
      <c r="V87" s="10" t="str">
        <f t="shared" si="30"/>
        <v>LastModifiedDate=null,</v>
      </c>
      <c r="W87" s="10" t="str">
        <f t="shared" si="31"/>
        <v>LastModifiedUserId=null</v>
      </c>
      <c r="X87" s="9" t="str">
        <f t="shared" ca="1" si="32"/>
        <v>Id=85,Title="رواندا",ParentId=null,Guid=Guid.Parse("63E77FD3-401F-4537-A08D-3F0C9BE56C57"),CreatedDate=new DateTime (2026,3,25,4,26,24),CreatedUserId=null,Description= "Created by seeding data",IsActive=true,IsDeleted=false,LastModifiedDate=null,LastModifiedUserId=null</v>
      </c>
      <c r="Y87" s="9" t="str">
        <f t="shared" ca="1" si="33"/>
        <v>new State{Id=85,Title="رواندا",ParentId=null,Guid=Guid.Parse("63E77FD3-401F-4537-A08D-3F0C9BE56C57"),CreatedDate=new DateTime (2026,3,25,4,26,24),CreatedUserId=null,Description= "Created by seeding data",IsActive=true,IsDeleted=false,LastModifiedDate=null,LastModifiedUserId=null},</v>
      </c>
    </row>
    <row r="88" spans="1:25" x14ac:dyDescent="0.5">
      <c r="A88" s="1" t="str">
        <f t="shared" si="17"/>
        <v>86,</v>
      </c>
      <c r="B88" s="1" t="s">
        <v>97</v>
      </c>
      <c r="C88" s="1" t="str">
        <f t="shared" si="18"/>
        <v>null,</v>
      </c>
      <c r="D88" s="1" t="s">
        <v>293</v>
      </c>
      <c r="E88" s="1" t="str">
        <f t="shared" ca="1" si="19"/>
        <v>new DateTime (2026,3,25,4,26,24),</v>
      </c>
      <c r="F88" s="1" t="str">
        <f t="shared" si="20"/>
        <v>null,</v>
      </c>
      <c r="G88" s="1" t="s">
        <v>207</v>
      </c>
      <c r="H88" s="1" t="str">
        <f t="shared" si="21"/>
        <v>true,</v>
      </c>
      <c r="I88" s="1" t="str">
        <f t="shared" si="22"/>
        <v>false,</v>
      </c>
      <c r="J88" s="1" t="str">
        <f t="shared" si="23"/>
        <v>null,</v>
      </c>
      <c r="K88" s="1" t="str">
        <f t="shared" si="24"/>
        <v>null</v>
      </c>
      <c r="L88" s="6"/>
      <c r="M88" s="10" t="str">
        <f>_xlfn.TEXTJOIN("=",FALSE,A$2,A88)</f>
        <v>Id=86,</v>
      </c>
      <c r="N88" s="10" t="str">
        <f>_xlfn.TEXTJOIN("=",FALSE,B$2,B88)</f>
        <v>Title="روسیه",</v>
      </c>
      <c r="O88" s="10" t="str">
        <f>_xlfn.TEXTJOIN("=",FALSE,C$2,C88)</f>
        <v>ParentId=null,</v>
      </c>
      <c r="P88" s="10" t="str">
        <f>_xlfn.TEXTJOIN("=",FALSE,D$2,D88)</f>
        <v>Guid=Guid.Parse("FEABDBD4-6E46-476E-862F-AE052D515509"),</v>
      </c>
      <c r="Q88" s="10" t="str">
        <f t="shared" ca="1" si="25"/>
        <v>CreatedDate=new DateTime (2026,3,25,4,26,24),</v>
      </c>
      <c r="R88" s="10" t="str">
        <f t="shared" si="26"/>
        <v>CreatedUserId=null,</v>
      </c>
      <c r="S88" s="10" t="str">
        <f t="shared" si="27"/>
        <v>Description= "Created by seeding data",</v>
      </c>
      <c r="T88" s="10" t="str">
        <f t="shared" si="28"/>
        <v>IsActive=true,</v>
      </c>
      <c r="U88" s="10" t="str">
        <f t="shared" si="29"/>
        <v>IsDeleted=false,</v>
      </c>
      <c r="V88" s="10" t="str">
        <f t="shared" si="30"/>
        <v>LastModifiedDate=null,</v>
      </c>
      <c r="W88" s="10" t="str">
        <f t="shared" si="31"/>
        <v>LastModifiedUserId=null</v>
      </c>
      <c r="X88" s="9" t="str">
        <f t="shared" ca="1" si="32"/>
        <v>Id=86,Title="روسیه",ParentId=null,Guid=Guid.Parse("FEABDBD4-6E46-476E-862F-AE052D515509"),CreatedDate=new DateTime (2026,3,25,4,26,24),CreatedUserId=null,Description= "Created by seeding data",IsActive=true,IsDeleted=false,LastModifiedDate=null,LastModifiedUserId=null</v>
      </c>
      <c r="Y88" s="9" t="str">
        <f t="shared" ca="1" si="33"/>
        <v>new State{Id=86,Title="روسیه",ParentId=null,Guid=Guid.Parse("FEABDBD4-6E46-476E-862F-AE052D515509"),CreatedDate=new DateTime (2026,3,25,4,26,24),CreatedUserId=null,Description= "Created by seeding data",IsActive=true,IsDeleted=false,LastModifiedDate=null,LastModifiedUserId=null},</v>
      </c>
    </row>
    <row r="89" spans="1:25" x14ac:dyDescent="0.5">
      <c r="A89" s="1" t="str">
        <f t="shared" si="17"/>
        <v>87,</v>
      </c>
      <c r="B89" s="1" t="s">
        <v>98</v>
      </c>
      <c r="C89" s="1" t="str">
        <f t="shared" si="18"/>
        <v>null,</v>
      </c>
      <c r="D89" s="1" t="s">
        <v>294</v>
      </c>
      <c r="E89" s="1" t="str">
        <f t="shared" ca="1" si="19"/>
        <v>new DateTime (2026,3,25,4,26,24),</v>
      </c>
      <c r="F89" s="1" t="str">
        <f t="shared" si="20"/>
        <v>null,</v>
      </c>
      <c r="G89" s="1" t="s">
        <v>207</v>
      </c>
      <c r="H89" s="1" t="str">
        <f t="shared" si="21"/>
        <v>true,</v>
      </c>
      <c r="I89" s="1" t="str">
        <f t="shared" si="22"/>
        <v>false,</v>
      </c>
      <c r="J89" s="1" t="str">
        <f t="shared" si="23"/>
        <v>null,</v>
      </c>
      <c r="K89" s="1" t="str">
        <f t="shared" si="24"/>
        <v>null</v>
      </c>
      <c r="L89" s="6"/>
      <c r="M89" s="10" t="str">
        <f>_xlfn.TEXTJOIN("=",FALSE,A$2,A89)</f>
        <v>Id=87,</v>
      </c>
      <c r="N89" s="10" t="str">
        <f>_xlfn.TEXTJOIN("=",FALSE,B$2,B89)</f>
        <v>Title="رومانی",</v>
      </c>
      <c r="O89" s="10" t="str">
        <f>_xlfn.TEXTJOIN("=",FALSE,C$2,C89)</f>
        <v>ParentId=null,</v>
      </c>
      <c r="P89" s="10" t="str">
        <f>_xlfn.TEXTJOIN("=",FALSE,D$2,D89)</f>
        <v>Guid=Guid.Parse("F9AA5D38-8868-4D30-8FFC-78B72CCAF66F"),</v>
      </c>
      <c r="Q89" s="10" t="str">
        <f t="shared" ca="1" si="25"/>
        <v>CreatedDate=new DateTime (2026,3,25,4,26,24),</v>
      </c>
      <c r="R89" s="10" t="str">
        <f t="shared" si="26"/>
        <v>CreatedUserId=null,</v>
      </c>
      <c r="S89" s="10" t="str">
        <f t="shared" si="27"/>
        <v>Description= "Created by seeding data",</v>
      </c>
      <c r="T89" s="10" t="str">
        <f t="shared" si="28"/>
        <v>IsActive=true,</v>
      </c>
      <c r="U89" s="10" t="str">
        <f t="shared" si="29"/>
        <v>IsDeleted=false,</v>
      </c>
      <c r="V89" s="10" t="str">
        <f t="shared" si="30"/>
        <v>LastModifiedDate=null,</v>
      </c>
      <c r="W89" s="10" t="str">
        <f t="shared" si="31"/>
        <v>LastModifiedUserId=null</v>
      </c>
      <c r="X89" s="9" t="str">
        <f t="shared" ca="1" si="32"/>
        <v>Id=87,Title="رومانی",ParentId=null,Guid=Guid.Parse("F9AA5D38-8868-4D30-8FFC-78B72CCAF66F"),CreatedDate=new DateTime (2026,3,25,4,26,24),CreatedUserId=null,Description= "Created by seeding data",IsActive=true,IsDeleted=false,LastModifiedDate=null,LastModifiedUserId=null</v>
      </c>
      <c r="Y89" s="9" t="str">
        <f t="shared" ca="1" si="33"/>
        <v>new State{Id=87,Title="رومانی",ParentId=null,Guid=Guid.Parse("F9AA5D38-8868-4D30-8FFC-78B72CCAF66F"),CreatedDate=new DateTime (2026,3,25,4,26,24),CreatedUserId=null,Description= "Created by seeding data",IsActive=true,IsDeleted=false,LastModifiedDate=null,LastModifiedUserId=null},</v>
      </c>
    </row>
    <row r="90" spans="1:25" x14ac:dyDescent="0.5">
      <c r="A90" s="1" t="str">
        <f t="shared" si="17"/>
        <v>88,</v>
      </c>
      <c r="B90" s="1" t="s">
        <v>99</v>
      </c>
      <c r="C90" s="1" t="str">
        <f t="shared" si="18"/>
        <v>null,</v>
      </c>
      <c r="D90" s="1" t="s">
        <v>295</v>
      </c>
      <c r="E90" s="1" t="str">
        <f t="shared" ca="1" si="19"/>
        <v>new DateTime (2026,3,25,4,26,24),</v>
      </c>
      <c r="F90" s="1" t="str">
        <f t="shared" si="20"/>
        <v>null,</v>
      </c>
      <c r="G90" s="1" t="s">
        <v>207</v>
      </c>
      <c r="H90" s="1" t="str">
        <f t="shared" si="21"/>
        <v>true,</v>
      </c>
      <c r="I90" s="1" t="str">
        <f t="shared" si="22"/>
        <v>false,</v>
      </c>
      <c r="J90" s="1" t="str">
        <f t="shared" si="23"/>
        <v>null,</v>
      </c>
      <c r="K90" s="1" t="str">
        <f t="shared" si="24"/>
        <v>null</v>
      </c>
      <c r="L90" s="6"/>
      <c r="M90" s="10" t="str">
        <f>_xlfn.TEXTJOIN("=",FALSE,A$2,A90)</f>
        <v>Id=88,</v>
      </c>
      <c r="N90" s="10" t="str">
        <f>_xlfn.TEXTJOIN("=",FALSE,B$2,B90)</f>
        <v>Title="زامبیا",</v>
      </c>
      <c r="O90" s="10" t="str">
        <f>_xlfn.TEXTJOIN("=",FALSE,C$2,C90)</f>
        <v>ParentId=null,</v>
      </c>
      <c r="P90" s="10" t="str">
        <f>_xlfn.TEXTJOIN("=",FALSE,D$2,D90)</f>
        <v>Guid=Guid.Parse("BA0C8FF9-DF2A-4959-A859-B4F69C156C56"),</v>
      </c>
      <c r="Q90" s="10" t="str">
        <f t="shared" ca="1" si="25"/>
        <v>CreatedDate=new DateTime (2026,3,25,4,26,24),</v>
      </c>
      <c r="R90" s="10" t="str">
        <f t="shared" si="26"/>
        <v>CreatedUserId=null,</v>
      </c>
      <c r="S90" s="10" t="str">
        <f t="shared" si="27"/>
        <v>Description= "Created by seeding data",</v>
      </c>
      <c r="T90" s="10" t="str">
        <f t="shared" si="28"/>
        <v>IsActive=true,</v>
      </c>
      <c r="U90" s="10" t="str">
        <f t="shared" si="29"/>
        <v>IsDeleted=false,</v>
      </c>
      <c r="V90" s="10" t="str">
        <f t="shared" si="30"/>
        <v>LastModifiedDate=null,</v>
      </c>
      <c r="W90" s="10" t="str">
        <f t="shared" si="31"/>
        <v>LastModifiedUserId=null</v>
      </c>
      <c r="X90" s="9" t="str">
        <f t="shared" ca="1" si="32"/>
        <v>Id=88,Title="زامبیا",ParentId=null,Guid=Guid.Parse("BA0C8FF9-DF2A-4959-A859-B4F69C156C56"),CreatedDate=new DateTime (2026,3,25,4,26,24),CreatedUserId=null,Description= "Created by seeding data",IsActive=true,IsDeleted=false,LastModifiedDate=null,LastModifiedUserId=null</v>
      </c>
      <c r="Y90" s="9" t="str">
        <f t="shared" ca="1" si="33"/>
        <v>new State{Id=88,Title="زامبیا",ParentId=null,Guid=Guid.Parse("BA0C8FF9-DF2A-4959-A859-B4F69C156C56"),CreatedDate=new DateTime (2026,3,25,4,26,24),CreatedUserId=null,Description= "Created by seeding data",IsActive=true,IsDeleted=false,LastModifiedDate=null,LastModifiedUserId=null},</v>
      </c>
    </row>
    <row r="91" spans="1:25" x14ac:dyDescent="0.5">
      <c r="A91" s="1" t="str">
        <f t="shared" si="17"/>
        <v>89,</v>
      </c>
      <c r="B91" s="1" t="s">
        <v>100</v>
      </c>
      <c r="C91" s="1" t="str">
        <f t="shared" si="18"/>
        <v>null,</v>
      </c>
      <c r="D91" s="1" t="s">
        <v>296</v>
      </c>
      <c r="E91" s="1" t="str">
        <f t="shared" ca="1" si="19"/>
        <v>new DateTime (2026,3,25,4,26,24),</v>
      </c>
      <c r="F91" s="1" t="str">
        <f t="shared" si="20"/>
        <v>null,</v>
      </c>
      <c r="G91" s="1" t="s">
        <v>207</v>
      </c>
      <c r="H91" s="1" t="str">
        <f t="shared" si="21"/>
        <v>true,</v>
      </c>
      <c r="I91" s="1" t="str">
        <f t="shared" si="22"/>
        <v>false,</v>
      </c>
      <c r="J91" s="1" t="str">
        <f t="shared" si="23"/>
        <v>null,</v>
      </c>
      <c r="K91" s="1" t="str">
        <f t="shared" si="24"/>
        <v>null</v>
      </c>
      <c r="L91" s="6"/>
      <c r="M91" s="10" t="str">
        <f>_xlfn.TEXTJOIN("=",FALSE,A$2,A91)</f>
        <v>Id=89,</v>
      </c>
      <c r="N91" s="10" t="str">
        <f>_xlfn.TEXTJOIN("=",FALSE,B$2,B91)</f>
        <v>Title="زیمبابوه",</v>
      </c>
      <c r="O91" s="10" t="str">
        <f>_xlfn.TEXTJOIN("=",FALSE,C$2,C91)</f>
        <v>ParentId=null,</v>
      </c>
      <c r="P91" s="10" t="str">
        <f>_xlfn.TEXTJOIN("=",FALSE,D$2,D91)</f>
        <v>Guid=Guid.Parse("6967F5C5-A163-484B-B531-67499ECE9684"),</v>
      </c>
      <c r="Q91" s="10" t="str">
        <f t="shared" ca="1" si="25"/>
        <v>CreatedDate=new DateTime (2026,3,25,4,26,24),</v>
      </c>
      <c r="R91" s="10" t="str">
        <f t="shared" si="26"/>
        <v>CreatedUserId=null,</v>
      </c>
      <c r="S91" s="10" t="str">
        <f t="shared" si="27"/>
        <v>Description= "Created by seeding data",</v>
      </c>
      <c r="T91" s="10" t="str">
        <f t="shared" si="28"/>
        <v>IsActive=true,</v>
      </c>
      <c r="U91" s="10" t="str">
        <f t="shared" si="29"/>
        <v>IsDeleted=false,</v>
      </c>
      <c r="V91" s="10" t="str">
        <f t="shared" si="30"/>
        <v>LastModifiedDate=null,</v>
      </c>
      <c r="W91" s="10" t="str">
        <f t="shared" si="31"/>
        <v>LastModifiedUserId=null</v>
      </c>
      <c r="X91" s="9" t="str">
        <f t="shared" ca="1" si="32"/>
        <v>Id=89,Title="زیمبابوه",ParentId=null,Guid=Guid.Parse("6967F5C5-A163-484B-B531-67499ECE9684"),CreatedDate=new DateTime (2026,3,25,4,26,24),CreatedUserId=null,Description= "Created by seeding data",IsActive=true,IsDeleted=false,LastModifiedDate=null,LastModifiedUserId=null</v>
      </c>
      <c r="Y91" s="9" t="str">
        <f t="shared" ca="1" si="33"/>
        <v>new State{Id=89,Title="زیمبابوه",ParentId=null,Guid=Guid.Parse("6967F5C5-A163-484B-B531-67499ECE9684"),CreatedDate=new DateTime (2026,3,25,4,26,24),CreatedUserId=null,Description= "Created by seeding data",IsActive=true,IsDeleted=false,LastModifiedDate=null,LastModifiedUserId=null},</v>
      </c>
    </row>
    <row r="92" spans="1:25" x14ac:dyDescent="0.5">
      <c r="A92" s="1" t="str">
        <f t="shared" si="17"/>
        <v>90,</v>
      </c>
      <c r="B92" s="1" t="s">
        <v>101</v>
      </c>
      <c r="C92" s="1" t="str">
        <f t="shared" si="18"/>
        <v>null,</v>
      </c>
      <c r="D92" s="1" t="s">
        <v>297</v>
      </c>
      <c r="E92" s="1" t="str">
        <f t="shared" ca="1" si="19"/>
        <v>new DateTime (2026,3,25,4,26,24),</v>
      </c>
      <c r="F92" s="1" t="str">
        <f t="shared" si="20"/>
        <v>null,</v>
      </c>
      <c r="G92" s="1" t="s">
        <v>207</v>
      </c>
      <c r="H92" s="1" t="str">
        <f t="shared" si="21"/>
        <v>true,</v>
      </c>
      <c r="I92" s="1" t="str">
        <f t="shared" si="22"/>
        <v>false,</v>
      </c>
      <c r="J92" s="1" t="str">
        <f t="shared" si="23"/>
        <v>null,</v>
      </c>
      <c r="K92" s="1" t="str">
        <f t="shared" si="24"/>
        <v>null</v>
      </c>
      <c r="L92" s="6"/>
      <c r="M92" s="10" t="str">
        <f>_xlfn.TEXTJOIN("=",FALSE,A$2,A92)</f>
        <v>Id=90,</v>
      </c>
      <c r="N92" s="10" t="str">
        <f>_xlfn.TEXTJOIN("=",FALSE,B$2,B92)</f>
        <v>Title="ژاپن",</v>
      </c>
      <c r="O92" s="10" t="str">
        <f>_xlfn.TEXTJOIN("=",FALSE,C$2,C92)</f>
        <v>ParentId=null,</v>
      </c>
      <c r="P92" s="10" t="str">
        <f>_xlfn.TEXTJOIN("=",FALSE,D$2,D92)</f>
        <v>Guid=Guid.Parse("9ED263F4-BEC0-4355-81F2-F517C608E8E9"),</v>
      </c>
      <c r="Q92" s="10" t="str">
        <f t="shared" ca="1" si="25"/>
        <v>CreatedDate=new DateTime (2026,3,25,4,26,24),</v>
      </c>
      <c r="R92" s="10" t="str">
        <f t="shared" si="26"/>
        <v>CreatedUserId=null,</v>
      </c>
      <c r="S92" s="10" t="str">
        <f t="shared" si="27"/>
        <v>Description= "Created by seeding data",</v>
      </c>
      <c r="T92" s="10" t="str">
        <f t="shared" si="28"/>
        <v>IsActive=true,</v>
      </c>
      <c r="U92" s="10" t="str">
        <f t="shared" si="29"/>
        <v>IsDeleted=false,</v>
      </c>
      <c r="V92" s="10" t="str">
        <f t="shared" si="30"/>
        <v>LastModifiedDate=null,</v>
      </c>
      <c r="W92" s="10" t="str">
        <f t="shared" si="31"/>
        <v>LastModifiedUserId=null</v>
      </c>
      <c r="X92" s="9" t="str">
        <f t="shared" ca="1" si="32"/>
        <v>Id=90,Title="ژاپن",ParentId=null,Guid=Guid.Parse("9ED263F4-BEC0-4355-81F2-F517C608E8E9"),CreatedDate=new DateTime (2026,3,25,4,26,24),CreatedUserId=null,Description= "Created by seeding data",IsActive=true,IsDeleted=false,LastModifiedDate=null,LastModifiedUserId=null</v>
      </c>
      <c r="Y92" s="9" t="str">
        <f t="shared" ca="1" si="33"/>
        <v>new State{Id=90,Title="ژاپن",ParentId=null,Guid=Guid.Parse("9ED263F4-BEC0-4355-81F2-F517C608E8E9"),CreatedDate=new DateTime (2026,3,25,4,26,24),CreatedUserId=null,Description= "Created by seeding data",IsActive=true,IsDeleted=false,LastModifiedDate=null,LastModifiedUserId=null},</v>
      </c>
    </row>
    <row r="93" spans="1:25" x14ac:dyDescent="0.5">
      <c r="A93" s="1" t="str">
        <f t="shared" si="17"/>
        <v>91,</v>
      </c>
      <c r="B93" s="1" t="s">
        <v>102</v>
      </c>
      <c r="C93" s="1" t="str">
        <f t="shared" si="18"/>
        <v>null,</v>
      </c>
      <c r="D93" s="1" t="s">
        <v>298</v>
      </c>
      <c r="E93" s="1" t="str">
        <f t="shared" ca="1" si="19"/>
        <v>new DateTime (2026,3,25,4,26,24),</v>
      </c>
      <c r="F93" s="1" t="str">
        <f t="shared" si="20"/>
        <v>null,</v>
      </c>
      <c r="G93" s="1" t="s">
        <v>207</v>
      </c>
      <c r="H93" s="1" t="str">
        <f t="shared" si="21"/>
        <v>true,</v>
      </c>
      <c r="I93" s="1" t="str">
        <f t="shared" si="22"/>
        <v>false,</v>
      </c>
      <c r="J93" s="1" t="str">
        <f t="shared" si="23"/>
        <v>null,</v>
      </c>
      <c r="K93" s="1" t="str">
        <f t="shared" si="24"/>
        <v>null</v>
      </c>
      <c r="L93" s="6"/>
      <c r="M93" s="10" t="str">
        <f>_xlfn.TEXTJOIN("=",FALSE,A$2,A93)</f>
        <v>Id=91,</v>
      </c>
      <c r="N93" s="10" t="str">
        <f>_xlfn.TEXTJOIN("=",FALSE,B$2,B93)</f>
        <v>Title="ساحل عاج",</v>
      </c>
      <c r="O93" s="10" t="str">
        <f>_xlfn.TEXTJOIN("=",FALSE,C$2,C93)</f>
        <v>ParentId=null,</v>
      </c>
      <c r="P93" s="10" t="str">
        <f>_xlfn.TEXTJOIN("=",FALSE,D$2,D93)</f>
        <v>Guid=Guid.Parse("52349AF2-40CE-4750-BEBC-5C651574BBF5"),</v>
      </c>
      <c r="Q93" s="10" t="str">
        <f t="shared" ca="1" si="25"/>
        <v>CreatedDate=new DateTime (2026,3,25,4,26,24),</v>
      </c>
      <c r="R93" s="10" t="str">
        <f t="shared" si="26"/>
        <v>CreatedUserId=null,</v>
      </c>
      <c r="S93" s="10" t="str">
        <f t="shared" si="27"/>
        <v>Description= "Created by seeding data",</v>
      </c>
      <c r="T93" s="10" t="str">
        <f t="shared" si="28"/>
        <v>IsActive=true,</v>
      </c>
      <c r="U93" s="10" t="str">
        <f t="shared" si="29"/>
        <v>IsDeleted=false,</v>
      </c>
      <c r="V93" s="10" t="str">
        <f t="shared" si="30"/>
        <v>LastModifiedDate=null,</v>
      </c>
      <c r="W93" s="10" t="str">
        <f t="shared" si="31"/>
        <v>LastModifiedUserId=null</v>
      </c>
      <c r="X93" s="9" t="str">
        <f t="shared" ca="1" si="32"/>
        <v>Id=91,Title="ساحل عاج",ParentId=null,Guid=Guid.Parse("52349AF2-40CE-4750-BEBC-5C651574BBF5"),CreatedDate=new DateTime (2026,3,25,4,26,24),CreatedUserId=null,Description= "Created by seeding data",IsActive=true,IsDeleted=false,LastModifiedDate=null,LastModifiedUserId=null</v>
      </c>
      <c r="Y93" s="9" t="str">
        <f t="shared" ca="1" si="33"/>
        <v>new State{Id=91,Title="ساحل عاج",ParentId=null,Guid=Guid.Parse("52349AF2-40CE-4750-BEBC-5C651574BBF5"),CreatedDate=new DateTime (2026,3,25,4,26,24),CreatedUserId=null,Description= "Created by seeding data",IsActive=true,IsDeleted=false,LastModifiedDate=null,LastModifiedUserId=null},</v>
      </c>
    </row>
    <row r="94" spans="1:25" x14ac:dyDescent="0.5">
      <c r="A94" s="1" t="str">
        <f t="shared" si="17"/>
        <v>92,</v>
      </c>
      <c r="B94" s="1" t="s">
        <v>103</v>
      </c>
      <c r="C94" s="1" t="str">
        <f t="shared" si="18"/>
        <v>null,</v>
      </c>
      <c r="D94" s="1" t="s">
        <v>299</v>
      </c>
      <c r="E94" s="1" t="str">
        <f t="shared" ca="1" si="19"/>
        <v>new DateTime (2026,3,25,4,26,24),</v>
      </c>
      <c r="F94" s="1" t="str">
        <f t="shared" si="20"/>
        <v>null,</v>
      </c>
      <c r="G94" s="1" t="s">
        <v>207</v>
      </c>
      <c r="H94" s="1" t="str">
        <f t="shared" si="21"/>
        <v>true,</v>
      </c>
      <c r="I94" s="1" t="str">
        <f t="shared" si="22"/>
        <v>false,</v>
      </c>
      <c r="J94" s="1" t="str">
        <f t="shared" si="23"/>
        <v>null,</v>
      </c>
      <c r="K94" s="1" t="str">
        <f t="shared" si="24"/>
        <v>null</v>
      </c>
      <c r="L94" s="6"/>
      <c r="M94" s="10" t="str">
        <f>_xlfn.TEXTJOIN("=",FALSE,A$2,A94)</f>
        <v>Id=92,</v>
      </c>
      <c r="N94" s="10" t="str">
        <f>_xlfn.TEXTJOIN("=",FALSE,B$2,B94)</f>
        <v>Title="ساموآ",</v>
      </c>
      <c r="O94" s="10" t="str">
        <f>_xlfn.TEXTJOIN("=",FALSE,C$2,C94)</f>
        <v>ParentId=null,</v>
      </c>
      <c r="P94" s="10" t="str">
        <f>_xlfn.TEXTJOIN("=",FALSE,D$2,D94)</f>
        <v>Guid=Guid.Parse("3072DF6C-B487-4D5A-BA7E-15570326808A"),</v>
      </c>
      <c r="Q94" s="10" t="str">
        <f t="shared" ca="1" si="25"/>
        <v>CreatedDate=new DateTime (2026,3,25,4,26,24),</v>
      </c>
      <c r="R94" s="10" t="str">
        <f t="shared" si="26"/>
        <v>CreatedUserId=null,</v>
      </c>
      <c r="S94" s="10" t="str">
        <f t="shared" si="27"/>
        <v>Description= "Created by seeding data",</v>
      </c>
      <c r="T94" s="10" t="str">
        <f t="shared" si="28"/>
        <v>IsActive=true,</v>
      </c>
      <c r="U94" s="10" t="str">
        <f t="shared" si="29"/>
        <v>IsDeleted=false,</v>
      </c>
      <c r="V94" s="10" t="str">
        <f t="shared" si="30"/>
        <v>LastModifiedDate=null,</v>
      </c>
      <c r="W94" s="10" t="str">
        <f t="shared" si="31"/>
        <v>LastModifiedUserId=null</v>
      </c>
      <c r="X94" s="9" t="str">
        <f t="shared" ca="1" si="32"/>
        <v>Id=92,Title="ساموآ",ParentId=null,Guid=Guid.Parse("3072DF6C-B487-4D5A-BA7E-15570326808A"),CreatedDate=new DateTime (2026,3,25,4,26,24),CreatedUserId=null,Description= "Created by seeding data",IsActive=true,IsDeleted=false,LastModifiedDate=null,LastModifiedUserId=null</v>
      </c>
      <c r="Y94" s="9" t="str">
        <f t="shared" ca="1" si="33"/>
        <v>new State{Id=92,Title="ساموآ",ParentId=null,Guid=Guid.Parse("3072DF6C-B487-4D5A-BA7E-15570326808A"),CreatedDate=new DateTime (2026,3,25,4,26,24),CreatedUserId=null,Description= "Created by seeding data",IsActive=true,IsDeleted=false,LastModifiedDate=null,LastModifiedUserId=null},</v>
      </c>
    </row>
    <row r="95" spans="1:25" x14ac:dyDescent="0.5">
      <c r="A95" s="1" t="str">
        <f t="shared" si="17"/>
        <v>93,</v>
      </c>
      <c r="B95" s="1" t="s">
        <v>104</v>
      </c>
      <c r="C95" s="1" t="str">
        <f t="shared" si="18"/>
        <v>null,</v>
      </c>
      <c r="D95" s="1" t="s">
        <v>300</v>
      </c>
      <c r="E95" s="1" t="str">
        <f t="shared" ca="1" si="19"/>
        <v>new DateTime (2026,3,25,4,26,24),</v>
      </c>
      <c r="F95" s="1" t="str">
        <f t="shared" si="20"/>
        <v>null,</v>
      </c>
      <c r="G95" s="1" t="s">
        <v>207</v>
      </c>
      <c r="H95" s="1" t="str">
        <f t="shared" si="21"/>
        <v>true,</v>
      </c>
      <c r="I95" s="1" t="str">
        <f t="shared" si="22"/>
        <v>false,</v>
      </c>
      <c r="J95" s="1" t="str">
        <f t="shared" si="23"/>
        <v>null,</v>
      </c>
      <c r="K95" s="1" t="str">
        <f t="shared" si="24"/>
        <v>null</v>
      </c>
      <c r="L95" s="6"/>
      <c r="M95" s="10" t="str">
        <f>_xlfn.TEXTJOIN("=",FALSE,A$2,A95)</f>
        <v>Id=93,</v>
      </c>
      <c r="N95" s="10" t="str">
        <f>_xlfn.TEXTJOIN("=",FALSE,B$2,B95)</f>
        <v>Title="سان مارینو",</v>
      </c>
      <c r="O95" s="10" t="str">
        <f>_xlfn.TEXTJOIN("=",FALSE,C$2,C95)</f>
        <v>ParentId=null,</v>
      </c>
      <c r="P95" s="10" t="str">
        <f>_xlfn.TEXTJOIN("=",FALSE,D$2,D95)</f>
        <v>Guid=Guid.Parse("460655DB-DC6F-4D1E-9627-74C884064965"),</v>
      </c>
      <c r="Q95" s="10" t="str">
        <f t="shared" ca="1" si="25"/>
        <v>CreatedDate=new DateTime (2026,3,25,4,26,24),</v>
      </c>
      <c r="R95" s="10" t="str">
        <f t="shared" si="26"/>
        <v>CreatedUserId=null,</v>
      </c>
      <c r="S95" s="10" t="str">
        <f t="shared" si="27"/>
        <v>Description= "Created by seeding data",</v>
      </c>
      <c r="T95" s="10" t="str">
        <f t="shared" si="28"/>
        <v>IsActive=true,</v>
      </c>
      <c r="U95" s="10" t="str">
        <f t="shared" si="29"/>
        <v>IsDeleted=false,</v>
      </c>
      <c r="V95" s="10" t="str">
        <f t="shared" si="30"/>
        <v>LastModifiedDate=null,</v>
      </c>
      <c r="W95" s="10" t="str">
        <f t="shared" si="31"/>
        <v>LastModifiedUserId=null</v>
      </c>
      <c r="X95" s="9" t="str">
        <f t="shared" ca="1" si="32"/>
        <v>Id=93,Title="سان مارینو",ParentId=null,Guid=Guid.Parse("460655DB-DC6F-4D1E-9627-74C884064965"),CreatedDate=new DateTime (2026,3,25,4,26,24),CreatedUserId=null,Description= "Created by seeding data",IsActive=true,IsDeleted=false,LastModifiedDate=null,LastModifiedUserId=null</v>
      </c>
      <c r="Y95" s="9" t="str">
        <f t="shared" ca="1" si="33"/>
        <v>new State{Id=93,Title="سان مارینو",ParentId=null,Guid=Guid.Parse("460655DB-DC6F-4D1E-9627-74C884064965"),CreatedDate=new DateTime (2026,3,25,4,26,24),CreatedUserId=null,Description= "Created by seeding data",IsActive=true,IsDeleted=false,LastModifiedDate=null,LastModifiedUserId=null},</v>
      </c>
    </row>
    <row r="96" spans="1:25" x14ac:dyDescent="0.5">
      <c r="A96" s="1" t="str">
        <f t="shared" si="17"/>
        <v>94,</v>
      </c>
      <c r="B96" s="1" t="s">
        <v>105</v>
      </c>
      <c r="C96" s="1" t="str">
        <f t="shared" si="18"/>
        <v>null,</v>
      </c>
      <c r="D96" s="1" t="s">
        <v>301</v>
      </c>
      <c r="E96" s="1" t="str">
        <f t="shared" ca="1" si="19"/>
        <v>new DateTime (2026,3,25,4,26,24),</v>
      </c>
      <c r="F96" s="1" t="str">
        <f t="shared" si="20"/>
        <v>null,</v>
      </c>
      <c r="G96" s="1" t="s">
        <v>207</v>
      </c>
      <c r="H96" s="1" t="str">
        <f t="shared" si="21"/>
        <v>true,</v>
      </c>
      <c r="I96" s="1" t="str">
        <f t="shared" si="22"/>
        <v>false,</v>
      </c>
      <c r="J96" s="1" t="str">
        <f t="shared" si="23"/>
        <v>null,</v>
      </c>
      <c r="K96" s="1" t="str">
        <f t="shared" si="24"/>
        <v>null</v>
      </c>
      <c r="L96" s="6"/>
      <c r="M96" s="10" t="str">
        <f>_xlfn.TEXTJOIN("=",FALSE,A$2,A96)</f>
        <v>Id=94,</v>
      </c>
      <c r="N96" s="10" t="str">
        <f>_xlfn.TEXTJOIN("=",FALSE,B$2,B96)</f>
        <v>Title="سائوتومه و پرنسیپ",</v>
      </c>
      <c r="O96" s="10" t="str">
        <f>_xlfn.TEXTJOIN("=",FALSE,C$2,C96)</f>
        <v>ParentId=null,</v>
      </c>
      <c r="P96" s="10" t="str">
        <f>_xlfn.TEXTJOIN("=",FALSE,D$2,D96)</f>
        <v>Guid=Guid.Parse("241A6CE3-F197-4A57-9804-16B9EBD377E3"),</v>
      </c>
      <c r="Q96" s="10" t="str">
        <f t="shared" ca="1" si="25"/>
        <v>CreatedDate=new DateTime (2026,3,25,4,26,24),</v>
      </c>
      <c r="R96" s="10" t="str">
        <f t="shared" si="26"/>
        <v>CreatedUserId=null,</v>
      </c>
      <c r="S96" s="10" t="str">
        <f t="shared" si="27"/>
        <v>Description= "Created by seeding data",</v>
      </c>
      <c r="T96" s="10" t="str">
        <f t="shared" si="28"/>
        <v>IsActive=true,</v>
      </c>
      <c r="U96" s="10" t="str">
        <f t="shared" si="29"/>
        <v>IsDeleted=false,</v>
      </c>
      <c r="V96" s="10" t="str">
        <f t="shared" si="30"/>
        <v>LastModifiedDate=null,</v>
      </c>
      <c r="W96" s="10" t="str">
        <f t="shared" si="31"/>
        <v>LastModifiedUserId=null</v>
      </c>
      <c r="X96" s="9" t="str">
        <f t="shared" ca="1" si="32"/>
        <v>Id=94,Title="سائوتومه و پرنسیپ",ParentId=null,Guid=Guid.Parse("241A6CE3-F197-4A57-9804-16B9EBD377E3"),CreatedDate=new DateTime (2026,3,25,4,26,24),CreatedUserId=null,Description= "Created by seeding data",IsActive=true,IsDeleted=false,LastModifiedDate=null,LastModifiedUserId=null</v>
      </c>
      <c r="Y96" s="9" t="str">
        <f t="shared" ca="1" si="33"/>
        <v>new State{Id=94,Title="سائوتومه و پرنسیپ",ParentId=null,Guid=Guid.Parse("241A6CE3-F197-4A57-9804-16B9EBD377E3"),CreatedDate=new DateTime (2026,3,25,4,26,24),CreatedUserId=null,Description= "Created by seeding data",IsActive=true,IsDeleted=false,LastModifiedDate=null,LastModifiedUserId=null},</v>
      </c>
    </row>
    <row r="97" spans="1:25" x14ac:dyDescent="0.5">
      <c r="A97" s="1" t="str">
        <f t="shared" si="17"/>
        <v>95,</v>
      </c>
      <c r="B97" s="1" t="s">
        <v>106</v>
      </c>
      <c r="C97" s="1" t="str">
        <f t="shared" si="18"/>
        <v>null,</v>
      </c>
      <c r="D97" s="1" t="s">
        <v>302</v>
      </c>
      <c r="E97" s="1" t="str">
        <f t="shared" ca="1" si="19"/>
        <v>new DateTime (2026,3,25,4,26,24),</v>
      </c>
      <c r="F97" s="1" t="str">
        <f t="shared" si="20"/>
        <v>null,</v>
      </c>
      <c r="G97" s="1" t="s">
        <v>207</v>
      </c>
      <c r="H97" s="1" t="str">
        <f t="shared" si="21"/>
        <v>true,</v>
      </c>
      <c r="I97" s="1" t="str">
        <f t="shared" si="22"/>
        <v>false,</v>
      </c>
      <c r="J97" s="1" t="str">
        <f t="shared" si="23"/>
        <v>null,</v>
      </c>
      <c r="K97" s="1" t="str">
        <f t="shared" si="24"/>
        <v>null</v>
      </c>
      <c r="L97" s="6"/>
      <c r="M97" s="10" t="str">
        <f>_xlfn.TEXTJOIN("=",FALSE,A$2,A97)</f>
        <v>Id=95,</v>
      </c>
      <c r="N97" s="10" t="str">
        <f>_xlfn.TEXTJOIN("=",FALSE,B$2,B97)</f>
        <v>Title="سریلانکا",</v>
      </c>
      <c r="O97" s="10" t="str">
        <f>_xlfn.TEXTJOIN("=",FALSE,C$2,C97)</f>
        <v>ParentId=null,</v>
      </c>
      <c r="P97" s="10" t="str">
        <f>_xlfn.TEXTJOIN("=",FALSE,D$2,D97)</f>
        <v>Guid=Guid.Parse("82189184-2FEF-4CF3-844C-126BC4FB4930"),</v>
      </c>
      <c r="Q97" s="10" t="str">
        <f t="shared" ca="1" si="25"/>
        <v>CreatedDate=new DateTime (2026,3,25,4,26,24),</v>
      </c>
      <c r="R97" s="10" t="str">
        <f t="shared" si="26"/>
        <v>CreatedUserId=null,</v>
      </c>
      <c r="S97" s="10" t="str">
        <f t="shared" si="27"/>
        <v>Description= "Created by seeding data",</v>
      </c>
      <c r="T97" s="10" t="str">
        <f t="shared" si="28"/>
        <v>IsActive=true,</v>
      </c>
      <c r="U97" s="10" t="str">
        <f t="shared" si="29"/>
        <v>IsDeleted=false,</v>
      </c>
      <c r="V97" s="10" t="str">
        <f t="shared" si="30"/>
        <v>LastModifiedDate=null,</v>
      </c>
      <c r="W97" s="10" t="str">
        <f t="shared" si="31"/>
        <v>LastModifiedUserId=null</v>
      </c>
      <c r="X97" s="9" t="str">
        <f t="shared" ca="1" si="32"/>
        <v>Id=95,Title="سریلانکا",ParentId=null,Guid=Guid.Parse("82189184-2FEF-4CF3-844C-126BC4FB4930"),CreatedDate=new DateTime (2026,3,25,4,26,24),CreatedUserId=null,Description= "Created by seeding data",IsActive=true,IsDeleted=false,LastModifiedDate=null,LastModifiedUserId=null</v>
      </c>
      <c r="Y97" s="9" t="str">
        <f t="shared" ca="1" si="33"/>
        <v>new State{Id=95,Title="سریلانکا",ParentId=null,Guid=Guid.Parse("82189184-2FEF-4CF3-844C-126BC4FB4930"),CreatedDate=new DateTime (2026,3,25,4,26,24),CreatedUserId=null,Description= "Created by seeding data",IsActive=true,IsDeleted=false,LastModifiedDate=null,LastModifiedUserId=null},</v>
      </c>
    </row>
    <row r="98" spans="1:25" x14ac:dyDescent="0.5">
      <c r="A98" s="1" t="str">
        <f t="shared" si="17"/>
        <v>96,</v>
      </c>
      <c r="B98" s="1" t="s">
        <v>107</v>
      </c>
      <c r="C98" s="1" t="str">
        <f t="shared" si="18"/>
        <v>null,</v>
      </c>
      <c r="D98" s="1" t="s">
        <v>303</v>
      </c>
      <c r="E98" s="1" t="str">
        <f t="shared" ca="1" si="19"/>
        <v>new DateTime (2026,3,25,4,26,24),</v>
      </c>
      <c r="F98" s="1" t="str">
        <f t="shared" si="20"/>
        <v>null,</v>
      </c>
      <c r="G98" s="1" t="s">
        <v>207</v>
      </c>
      <c r="H98" s="1" t="str">
        <f t="shared" si="21"/>
        <v>true,</v>
      </c>
      <c r="I98" s="1" t="str">
        <f t="shared" si="22"/>
        <v>false,</v>
      </c>
      <c r="J98" s="1" t="str">
        <f t="shared" si="23"/>
        <v>null,</v>
      </c>
      <c r="K98" s="1" t="str">
        <f t="shared" si="24"/>
        <v>null</v>
      </c>
      <c r="L98" s="6"/>
      <c r="M98" s="10" t="str">
        <f>_xlfn.TEXTJOIN("=",FALSE,A$2,A98)</f>
        <v>Id=96,</v>
      </c>
      <c r="N98" s="10" t="str">
        <f>_xlfn.TEXTJOIN("=",FALSE,B$2,B98)</f>
        <v>Title="سنت کیتس و نویس",</v>
      </c>
      <c r="O98" s="10" t="str">
        <f>_xlfn.TEXTJOIN("=",FALSE,C$2,C98)</f>
        <v>ParentId=null,</v>
      </c>
      <c r="P98" s="10" t="str">
        <f>_xlfn.TEXTJOIN("=",FALSE,D$2,D98)</f>
        <v>Guid=Guid.Parse("72BB39F1-ED98-4BFC-A6A4-50A01F29F866"),</v>
      </c>
      <c r="Q98" s="10" t="str">
        <f t="shared" ca="1" si="25"/>
        <v>CreatedDate=new DateTime (2026,3,25,4,26,24),</v>
      </c>
      <c r="R98" s="10" t="str">
        <f t="shared" si="26"/>
        <v>CreatedUserId=null,</v>
      </c>
      <c r="S98" s="10" t="str">
        <f t="shared" si="27"/>
        <v>Description= "Created by seeding data",</v>
      </c>
      <c r="T98" s="10" t="str">
        <f t="shared" si="28"/>
        <v>IsActive=true,</v>
      </c>
      <c r="U98" s="10" t="str">
        <f t="shared" si="29"/>
        <v>IsDeleted=false,</v>
      </c>
      <c r="V98" s="10" t="str">
        <f t="shared" si="30"/>
        <v>LastModifiedDate=null,</v>
      </c>
      <c r="W98" s="10" t="str">
        <f t="shared" si="31"/>
        <v>LastModifiedUserId=null</v>
      </c>
      <c r="X98" s="9" t="str">
        <f t="shared" ca="1" si="32"/>
        <v>Id=96,Title="سنت کیتس و نویس",ParentId=null,Guid=Guid.Parse("72BB39F1-ED98-4BFC-A6A4-50A01F29F866"),CreatedDate=new DateTime (2026,3,25,4,26,24),CreatedUserId=null,Description= "Created by seeding data",IsActive=true,IsDeleted=false,LastModifiedDate=null,LastModifiedUserId=null</v>
      </c>
      <c r="Y98" s="9" t="str">
        <f t="shared" ca="1" si="33"/>
        <v>new State{Id=96,Title="سنت کیتس و نویس",ParentId=null,Guid=Guid.Parse("72BB39F1-ED98-4BFC-A6A4-50A01F29F866"),CreatedDate=new DateTime (2026,3,25,4,26,24),CreatedUserId=null,Description= "Created by seeding data",IsActive=true,IsDeleted=false,LastModifiedDate=null,LastModifiedUserId=null},</v>
      </c>
    </row>
    <row r="99" spans="1:25" x14ac:dyDescent="0.5">
      <c r="A99" s="1" t="str">
        <f t="shared" si="17"/>
        <v>97,</v>
      </c>
      <c r="B99" s="1" t="s">
        <v>108</v>
      </c>
      <c r="C99" s="1" t="str">
        <f t="shared" si="18"/>
        <v>null,</v>
      </c>
      <c r="D99" s="1" t="s">
        <v>304</v>
      </c>
      <c r="E99" s="1" t="str">
        <f t="shared" ca="1" si="19"/>
        <v>new DateTime (2026,3,25,4,26,24),</v>
      </c>
      <c r="F99" s="1" t="str">
        <f t="shared" si="20"/>
        <v>null,</v>
      </c>
      <c r="G99" s="1" t="s">
        <v>207</v>
      </c>
      <c r="H99" s="1" t="str">
        <f t="shared" si="21"/>
        <v>true,</v>
      </c>
      <c r="I99" s="1" t="str">
        <f t="shared" si="22"/>
        <v>false,</v>
      </c>
      <c r="J99" s="1" t="str">
        <f t="shared" si="23"/>
        <v>null,</v>
      </c>
      <c r="K99" s="1" t="str">
        <f t="shared" si="24"/>
        <v>null</v>
      </c>
      <c r="L99" s="6"/>
      <c r="M99" s="10" t="str">
        <f>_xlfn.TEXTJOIN("=",FALSE,A$2,A99)</f>
        <v>Id=97,</v>
      </c>
      <c r="N99" s="10" t="str">
        <f>_xlfn.TEXTJOIN("=",FALSE,B$2,B99)</f>
        <v>Title="سنت لوسیا",</v>
      </c>
      <c r="O99" s="10" t="str">
        <f>_xlfn.TEXTJOIN("=",FALSE,C$2,C99)</f>
        <v>ParentId=null,</v>
      </c>
      <c r="P99" s="10" t="str">
        <f>_xlfn.TEXTJOIN("=",FALSE,D$2,D99)</f>
        <v>Guid=Guid.Parse("61174FC7-6892-428B-8EB9-5E3233611775"),</v>
      </c>
      <c r="Q99" s="10" t="str">
        <f t="shared" ca="1" si="25"/>
        <v>CreatedDate=new DateTime (2026,3,25,4,26,24),</v>
      </c>
      <c r="R99" s="10" t="str">
        <f t="shared" si="26"/>
        <v>CreatedUserId=null,</v>
      </c>
      <c r="S99" s="10" t="str">
        <f t="shared" si="27"/>
        <v>Description= "Created by seeding data",</v>
      </c>
      <c r="T99" s="10" t="str">
        <f t="shared" si="28"/>
        <v>IsActive=true,</v>
      </c>
      <c r="U99" s="10" t="str">
        <f t="shared" si="29"/>
        <v>IsDeleted=false,</v>
      </c>
      <c r="V99" s="10" t="str">
        <f t="shared" si="30"/>
        <v>LastModifiedDate=null,</v>
      </c>
      <c r="W99" s="10" t="str">
        <f t="shared" si="31"/>
        <v>LastModifiedUserId=null</v>
      </c>
      <c r="X99" s="9" t="str">
        <f t="shared" ca="1" si="32"/>
        <v>Id=97,Title="سنت لوسیا",ParentId=null,Guid=Guid.Parse("61174FC7-6892-428B-8EB9-5E3233611775"),CreatedDate=new DateTime (2026,3,25,4,26,24),CreatedUserId=null,Description= "Created by seeding data",IsActive=true,IsDeleted=false,LastModifiedDate=null,LastModifiedUserId=null</v>
      </c>
      <c r="Y99" s="9" t="str">
        <f t="shared" ca="1" si="33"/>
        <v>new State{Id=97,Title="سنت لوسیا",ParentId=null,Guid=Guid.Parse("61174FC7-6892-428B-8EB9-5E3233611775"),CreatedDate=new DateTime (2026,3,25,4,26,24),CreatedUserId=null,Description= "Created by seeding data",IsActive=true,IsDeleted=false,LastModifiedDate=null,LastModifiedUserId=null},</v>
      </c>
    </row>
    <row r="100" spans="1:25" x14ac:dyDescent="0.5">
      <c r="A100" s="1" t="str">
        <f t="shared" si="17"/>
        <v>98,</v>
      </c>
      <c r="B100" s="1" t="s">
        <v>109</v>
      </c>
      <c r="C100" s="1" t="str">
        <f t="shared" si="18"/>
        <v>null,</v>
      </c>
      <c r="D100" s="1" t="s">
        <v>305</v>
      </c>
      <c r="E100" s="1" t="str">
        <f t="shared" ca="1" si="19"/>
        <v>new DateTime (2026,3,25,4,26,24),</v>
      </c>
      <c r="F100" s="1" t="str">
        <f t="shared" si="20"/>
        <v>null,</v>
      </c>
      <c r="G100" s="1" t="s">
        <v>207</v>
      </c>
      <c r="H100" s="1" t="str">
        <f t="shared" si="21"/>
        <v>true,</v>
      </c>
      <c r="I100" s="1" t="str">
        <f t="shared" si="22"/>
        <v>false,</v>
      </c>
      <c r="J100" s="1" t="str">
        <f t="shared" si="23"/>
        <v>null,</v>
      </c>
      <c r="K100" s="1" t="str">
        <f t="shared" si="24"/>
        <v>null</v>
      </c>
      <c r="L100" s="6"/>
      <c r="M100" s="10" t="str">
        <f>_xlfn.TEXTJOIN("=",FALSE,A$2,A100)</f>
        <v>Id=98,</v>
      </c>
      <c r="N100" s="10" t="str">
        <f>_xlfn.TEXTJOIN("=",FALSE,B$2,B100)</f>
        <v>Title="سنت وینسنت و گرنادین‌ها",</v>
      </c>
      <c r="O100" s="10" t="str">
        <f>_xlfn.TEXTJOIN("=",FALSE,C$2,C100)</f>
        <v>ParentId=null,</v>
      </c>
      <c r="P100" s="10" t="str">
        <f>_xlfn.TEXTJOIN("=",FALSE,D$2,D100)</f>
        <v>Guid=Guid.Parse("C5ABF2D1-C46A-40FA-B0AC-E94E315C8E72"),</v>
      </c>
      <c r="Q100" s="10" t="str">
        <f t="shared" ca="1" si="25"/>
        <v>CreatedDate=new DateTime (2026,3,25,4,26,24),</v>
      </c>
      <c r="R100" s="10" t="str">
        <f t="shared" si="26"/>
        <v>CreatedUserId=null,</v>
      </c>
      <c r="S100" s="10" t="str">
        <f t="shared" si="27"/>
        <v>Description= "Created by seeding data",</v>
      </c>
      <c r="T100" s="10" t="str">
        <f t="shared" si="28"/>
        <v>IsActive=true,</v>
      </c>
      <c r="U100" s="10" t="str">
        <f t="shared" si="29"/>
        <v>IsDeleted=false,</v>
      </c>
      <c r="V100" s="10" t="str">
        <f t="shared" si="30"/>
        <v>LastModifiedDate=null,</v>
      </c>
      <c r="W100" s="10" t="str">
        <f t="shared" si="31"/>
        <v>LastModifiedUserId=null</v>
      </c>
      <c r="X100" s="9" t="str">
        <f t="shared" ca="1" si="32"/>
        <v>Id=98,Title="سنت وینسنت و گرنادین‌ها",ParentId=null,Guid=Guid.Parse("C5ABF2D1-C46A-40FA-B0AC-E94E315C8E72"),CreatedDate=new DateTime (2026,3,25,4,26,24),CreatedUserId=null,Description= "Created by seeding data",IsActive=true,IsDeleted=false,LastModifiedDate=null,LastModifiedUserId=null</v>
      </c>
      <c r="Y100" s="9" t="str">
        <f t="shared" ca="1" si="33"/>
        <v>new State{Id=98,Title="سنت وینسنت و گرنادین‌ها",ParentId=null,Guid=Guid.Parse("C5ABF2D1-C46A-40FA-B0AC-E94E315C8E72"),CreatedDate=new DateTime (2026,3,25,4,26,24),CreatedUserId=null,Description= "Created by seeding data",IsActive=true,IsDeleted=false,LastModifiedDate=null,LastModifiedUserId=null},</v>
      </c>
    </row>
    <row r="101" spans="1:25" x14ac:dyDescent="0.5">
      <c r="A101" s="1" t="str">
        <f t="shared" si="17"/>
        <v>99,</v>
      </c>
      <c r="B101" s="1" t="s">
        <v>110</v>
      </c>
      <c r="C101" s="1" t="str">
        <f t="shared" si="18"/>
        <v>null,</v>
      </c>
      <c r="D101" s="1" t="s">
        <v>306</v>
      </c>
      <c r="E101" s="1" t="str">
        <f t="shared" ca="1" si="19"/>
        <v>new DateTime (2026,3,25,4,26,24),</v>
      </c>
      <c r="F101" s="1" t="str">
        <f t="shared" si="20"/>
        <v>null,</v>
      </c>
      <c r="G101" s="1" t="s">
        <v>207</v>
      </c>
      <c r="H101" s="1" t="str">
        <f t="shared" si="21"/>
        <v>true,</v>
      </c>
      <c r="I101" s="1" t="str">
        <f t="shared" si="22"/>
        <v>false,</v>
      </c>
      <c r="J101" s="1" t="str">
        <f t="shared" si="23"/>
        <v>null,</v>
      </c>
      <c r="K101" s="1" t="str">
        <f t="shared" si="24"/>
        <v>null</v>
      </c>
      <c r="L101" s="6"/>
      <c r="M101" s="10" t="str">
        <f>_xlfn.TEXTJOIN("=",FALSE,A$2,A101)</f>
        <v>Id=99,</v>
      </c>
      <c r="N101" s="10" t="str">
        <f>_xlfn.TEXTJOIN("=",FALSE,B$2,B101)</f>
        <v>Title="سنگاپور",</v>
      </c>
      <c r="O101" s="10" t="str">
        <f>_xlfn.TEXTJOIN("=",FALSE,C$2,C101)</f>
        <v>ParentId=null,</v>
      </c>
      <c r="P101" s="10" t="str">
        <f>_xlfn.TEXTJOIN("=",FALSE,D$2,D101)</f>
        <v>Guid=Guid.Parse("5ED434C6-86AB-483E-8C5D-BFF02A5CACA9"),</v>
      </c>
      <c r="Q101" s="10" t="str">
        <f t="shared" ca="1" si="25"/>
        <v>CreatedDate=new DateTime (2026,3,25,4,26,24),</v>
      </c>
      <c r="R101" s="10" t="str">
        <f t="shared" si="26"/>
        <v>CreatedUserId=null,</v>
      </c>
      <c r="S101" s="10" t="str">
        <f t="shared" si="27"/>
        <v>Description= "Created by seeding data",</v>
      </c>
      <c r="T101" s="10" t="str">
        <f t="shared" si="28"/>
        <v>IsActive=true,</v>
      </c>
      <c r="U101" s="10" t="str">
        <f t="shared" si="29"/>
        <v>IsDeleted=false,</v>
      </c>
      <c r="V101" s="10" t="str">
        <f t="shared" si="30"/>
        <v>LastModifiedDate=null,</v>
      </c>
      <c r="W101" s="10" t="str">
        <f t="shared" si="31"/>
        <v>LastModifiedUserId=null</v>
      </c>
      <c r="X101" s="9" t="str">
        <f t="shared" ca="1" si="32"/>
        <v>Id=99,Title="سنگاپور",ParentId=null,Guid=Guid.Parse("5ED434C6-86AB-483E-8C5D-BFF02A5CACA9"),CreatedDate=new DateTime (2026,3,25,4,26,24),CreatedUserId=null,Description= "Created by seeding data",IsActive=true,IsDeleted=false,LastModifiedDate=null,LastModifiedUserId=null</v>
      </c>
      <c r="Y101" s="9" t="str">
        <f t="shared" ca="1" si="33"/>
        <v>new State{Id=99,Title="سنگاپور",ParentId=null,Guid=Guid.Parse("5ED434C6-86AB-483E-8C5D-BFF02A5CACA9"),CreatedDate=new DateTime (2026,3,25,4,26,24),CreatedUserId=null,Description= "Created by seeding data",IsActive=true,IsDeleted=false,LastModifiedDate=null,LastModifiedUserId=null},</v>
      </c>
    </row>
    <row r="102" spans="1:25" x14ac:dyDescent="0.5">
      <c r="A102" s="1" t="str">
        <f t="shared" si="17"/>
        <v>100,</v>
      </c>
      <c r="B102" s="1" t="s">
        <v>111</v>
      </c>
      <c r="C102" s="1" t="str">
        <f t="shared" si="18"/>
        <v>null,</v>
      </c>
      <c r="D102" s="1" t="s">
        <v>307</v>
      </c>
      <c r="E102" s="1" t="str">
        <f t="shared" ca="1" si="19"/>
        <v>new DateTime (2026,3,25,4,26,24),</v>
      </c>
      <c r="F102" s="1" t="str">
        <f t="shared" si="20"/>
        <v>null,</v>
      </c>
      <c r="G102" s="1" t="s">
        <v>207</v>
      </c>
      <c r="H102" s="1" t="str">
        <f t="shared" si="21"/>
        <v>true,</v>
      </c>
      <c r="I102" s="1" t="str">
        <f t="shared" si="22"/>
        <v>false,</v>
      </c>
      <c r="J102" s="1" t="str">
        <f t="shared" si="23"/>
        <v>null,</v>
      </c>
      <c r="K102" s="1" t="str">
        <f t="shared" si="24"/>
        <v>null</v>
      </c>
      <c r="L102" s="6"/>
      <c r="M102" s="10" t="str">
        <f>_xlfn.TEXTJOIN("=",FALSE,A$2,A102)</f>
        <v>Id=100,</v>
      </c>
      <c r="N102" s="10" t="str">
        <f>_xlfn.TEXTJOIN("=",FALSE,B$2,B102)</f>
        <v>Title="سنگال",</v>
      </c>
      <c r="O102" s="10" t="str">
        <f>_xlfn.TEXTJOIN("=",FALSE,C$2,C102)</f>
        <v>ParentId=null,</v>
      </c>
      <c r="P102" s="10" t="str">
        <f>_xlfn.TEXTJOIN("=",FALSE,D$2,D102)</f>
        <v>Guid=Guid.Parse("8C00F1F3-1B34-46A7-A339-144C3630CAC1"),</v>
      </c>
      <c r="Q102" s="10" t="str">
        <f t="shared" ca="1" si="25"/>
        <v>CreatedDate=new DateTime (2026,3,25,4,26,24),</v>
      </c>
      <c r="R102" s="10" t="str">
        <f t="shared" si="26"/>
        <v>CreatedUserId=null,</v>
      </c>
      <c r="S102" s="10" t="str">
        <f t="shared" si="27"/>
        <v>Description= "Created by seeding data",</v>
      </c>
      <c r="T102" s="10" t="str">
        <f t="shared" si="28"/>
        <v>IsActive=true,</v>
      </c>
      <c r="U102" s="10" t="str">
        <f t="shared" si="29"/>
        <v>IsDeleted=false,</v>
      </c>
      <c r="V102" s="10" t="str">
        <f t="shared" si="30"/>
        <v>LastModifiedDate=null,</v>
      </c>
      <c r="W102" s="10" t="str">
        <f t="shared" si="31"/>
        <v>LastModifiedUserId=null</v>
      </c>
      <c r="X102" s="9" t="str">
        <f t="shared" ca="1" si="32"/>
        <v>Id=100,Title="سنگال",ParentId=null,Guid=Guid.Parse("8C00F1F3-1B34-46A7-A339-144C3630CAC1"),CreatedDate=new DateTime (2026,3,25,4,26,24),CreatedUserId=null,Description= "Created by seeding data",IsActive=true,IsDeleted=false,LastModifiedDate=null,LastModifiedUserId=null</v>
      </c>
      <c r="Y102" s="9" t="str">
        <f t="shared" ca="1" si="33"/>
        <v>new State{Id=100,Title="سنگال",ParentId=null,Guid=Guid.Parse("8C00F1F3-1B34-46A7-A339-144C3630CAC1"),CreatedDate=new DateTime (2026,3,25,4,26,24),CreatedUserId=null,Description= "Created by seeding data",IsActive=true,IsDeleted=false,LastModifiedDate=null,LastModifiedUserId=null},</v>
      </c>
    </row>
    <row r="103" spans="1:25" x14ac:dyDescent="0.5">
      <c r="A103" s="1" t="str">
        <f t="shared" si="17"/>
        <v>101,</v>
      </c>
      <c r="B103" s="1" t="s">
        <v>112</v>
      </c>
      <c r="C103" s="1" t="str">
        <f t="shared" si="18"/>
        <v>null,</v>
      </c>
      <c r="D103" s="1" t="s">
        <v>308</v>
      </c>
      <c r="E103" s="1" t="str">
        <f t="shared" ca="1" si="19"/>
        <v>new DateTime (2026,3,25,4,26,24),</v>
      </c>
      <c r="F103" s="1" t="str">
        <f t="shared" si="20"/>
        <v>null,</v>
      </c>
      <c r="G103" s="1" t="s">
        <v>207</v>
      </c>
      <c r="H103" s="1" t="str">
        <f t="shared" si="21"/>
        <v>true,</v>
      </c>
      <c r="I103" s="1" t="str">
        <f t="shared" si="22"/>
        <v>false,</v>
      </c>
      <c r="J103" s="1" t="str">
        <f t="shared" si="23"/>
        <v>null,</v>
      </c>
      <c r="K103" s="1" t="str">
        <f t="shared" si="24"/>
        <v>null</v>
      </c>
      <c r="L103" s="6"/>
      <c r="M103" s="10" t="str">
        <f>_xlfn.TEXTJOIN("=",FALSE,A$2,A103)</f>
        <v>Id=101,</v>
      </c>
      <c r="N103" s="10" t="str">
        <f>_xlfn.TEXTJOIN("=",FALSE,B$2,B103)</f>
        <v>Title="سودان",</v>
      </c>
      <c r="O103" s="10" t="str">
        <f>_xlfn.TEXTJOIN("=",FALSE,C$2,C103)</f>
        <v>ParentId=null,</v>
      </c>
      <c r="P103" s="10" t="str">
        <f>_xlfn.TEXTJOIN("=",FALSE,D$2,D103)</f>
        <v>Guid=Guid.Parse("6D2C2D2F-FA35-40FA-AE36-7074AA8A7A85"),</v>
      </c>
      <c r="Q103" s="10" t="str">
        <f t="shared" ca="1" si="25"/>
        <v>CreatedDate=new DateTime (2026,3,25,4,26,24),</v>
      </c>
      <c r="R103" s="10" t="str">
        <f t="shared" si="26"/>
        <v>CreatedUserId=null,</v>
      </c>
      <c r="S103" s="10" t="str">
        <f t="shared" si="27"/>
        <v>Description= "Created by seeding data",</v>
      </c>
      <c r="T103" s="10" t="str">
        <f t="shared" si="28"/>
        <v>IsActive=true,</v>
      </c>
      <c r="U103" s="10" t="str">
        <f t="shared" si="29"/>
        <v>IsDeleted=false,</v>
      </c>
      <c r="V103" s="10" t="str">
        <f t="shared" si="30"/>
        <v>LastModifiedDate=null,</v>
      </c>
      <c r="W103" s="10" t="str">
        <f t="shared" si="31"/>
        <v>LastModifiedUserId=null</v>
      </c>
      <c r="X103" s="9" t="str">
        <f t="shared" ca="1" si="32"/>
        <v>Id=101,Title="سودان",ParentId=null,Guid=Guid.Parse("6D2C2D2F-FA35-40FA-AE36-7074AA8A7A85"),CreatedDate=new DateTime (2026,3,25,4,26,24),CreatedUserId=null,Description= "Created by seeding data",IsActive=true,IsDeleted=false,LastModifiedDate=null,LastModifiedUserId=null</v>
      </c>
      <c r="Y103" s="9" t="str">
        <f t="shared" ca="1" si="33"/>
        <v>new State{Id=101,Title="سودان",ParentId=null,Guid=Guid.Parse("6D2C2D2F-FA35-40FA-AE36-7074AA8A7A85"),CreatedDate=new DateTime (2026,3,25,4,26,24),CreatedUserId=null,Description= "Created by seeding data",IsActive=true,IsDeleted=false,LastModifiedDate=null,LastModifiedUserId=null},</v>
      </c>
    </row>
    <row r="104" spans="1:25" x14ac:dyDescent="0.5">
      <c r="A104" s="1" t="str">
        <f t="shared" si="17"/>
        <v>102,</v>
      </c>
      <c r="B104" s="1" t="s">
        <v>113</v>
      </c>
      <c r="C104" s="1" t="str">
        <f t="shared" si="18"/>
        <v>null,</v>
      </c>
      <c r="D104" s="1" t="s">
        <v>309</v>
      </c>
      <c r="E104" s="1" t="str">
        <f t="shared" ca="1" si="19"/>
        <v>new DateTime (2026,3,25,4,26,24),</v>
      </c>
      <c r="F104" s="1" t="str">
        <f t="shared" si="20"/>
        <v>null,</v>
      </c>
      <c r="G104" s="1" t="s">
        <v>207</v>
      </c>
      <c r="H104" s="1" t="str">
        <f t="shared" si="21"/>
        <v>true,</v>
      </c>
      <c r="I104" s="1" t="str">
        <f t="shared" si="22"/>
        <v>false,</v>
      </c>
      <c r="J104" s="1" t="str">
        <f t="shared" si="23"/>
        <v>null,</v>
      </c>
      <c r="K104" s="1" t="str">
        <f t="shared" si="24"/>
        <v>null</v>
      </c>
      <c r="L104" s="6"/>
      <c r="M104" s="10" t="str">
        <f>_xlfn.TEXTJOIN("=",FALSE,A$2,A104)</f>
        <v>Id=102,</v>
      </c>
      <c r="N104" s="10" t="str">
        <f>_xlfn.TEXTJOIN("=",FALSE,B$2,B104)</f>
        <v>Title="سودان جنوبی",</v>
      </c>
      <c r="O104" s="10" t="str">
        <f>_xlfn.TEXTJOIN("=",FALSE,C$2,C104)</f>
        <v>ParentId=null,</v>
      </c>
      <c r="P104" s="10" t="str">
        <f>_xlfn.TEXTJOIN("=",FALSE,D$2,D104)</f>
        <v>Guid=Guid.Parse("7C4097B3-5A9E-4DB8-A2FC-6F0D483F82EF"),</v>
      </c>
      <c r="Q104" s="10" t="str">
        <f t="shared" ca="1" si="25"/>
        <v>CreatedDate=new DateTime (2026,3,25,4,26,24),</v>
      </c>
      <c r="R104" s="10" t="str">
        <f t="shared" si="26"/>
        <v>CreatedUserId=null,</v>
      </c>
      <c r="S104" s="10" t="str">
        <f t="shared" si="27"/>
        <v>Description= "Created by seeding data",</v>
      </c>
      <c r="T104" s="10" t="str">
        <f t="shared" si="28"/>
        <v>IsActive=true,</v>
      </c>
      <c r="U104" s="10" t="str">
        <f t="shared" si="29"/>
        <v>IsDeleted=false,</v>
      </c>
      <c r="V104" s="10" t="str">
        <f t="shared" si="30"/>
        <v>LastModifiedDate=null,</v>
      </c>
      <c r="W104" s="10" t="str">
        <f t="shared" si="31"/>
        <v>LastModifiedUserId=null</v>
      </c>
      <c r="X104" s="9" t="str">
        <f t="shared" ca="1" si="32"/>
        <v>Id=102,Title="سودان جنوبی",ParentId=null,Guid=Guid.Parse("7C4097B3-5A9E-4DB8-A2FC-6F0D483F82EF"),CreatedDate=new DateTime (2026,3,25,4,26,24),CreatedUserId=null,Description= "Created by seeding data",IsActive=true,IsDeleted=false,LastModifiedDate=null,LastModifiedUserId=null</v>
      </c>
      <c r="Y104" s="9" t="str">
        <f t="shared" ca="1" si="33"/>
        <v>new State{Id=102,Title="سودان جنوبی",ParentId=null,Guid=Guid.Parse("7C4097B3-5A9E-4DB8-A2FC-6F0D483F82EF"),CreatedDate=new DateTime (2026,3,25,4,26,24),CreatedUserId=null,Description= "Created by seeding data",IsActive=true,IsDeleted=false,LastModifiedDate=null,LastModifiedUserId=null},</v>
      </c>
    </row>
    <row r="105" spans="1:25" x14ac:dyDescent="0.5">
      <c r="A105" s="1" t="str">
        <f t="shared" si="17"/>
        <v>103,</v>
      </c>
      <c r="B105" s="1" t="s">
        <v>114</v>
      </c>
      <c r="C105" s="1" t="str">
        <f t="shared" si="18"/>
        <v>null,</v>
      </c>
      <c r="D105" s="1" t="s">
        <v>310</v>
      </c>
      <c r="E105" s="1" t="str">
        <f t="shared" ca="1" si="19"/>
        <v>new DateTime (2026,3,25,4,26,24),</v>
      </c>
      <c r="F105" s="1" t="str">
        <f t="shared" si="20"/>
        <v>null,</v>
      </c>
      <c r="G105" s="1" t="s">
        <v>207</v>
      </c>
      <c r="H105" s="1" t="str">
        <f t="shared" si="21"/>
        <v>true,</v>
      </c>
      <c r="I105" s="1" t="str">
        <f t="shared" si="22"/>
        <v>false,</v>
      </c>
      <c r="J105" s="1" t="str">
        <f t="shared" si="23"/>
        <v>null,</v>
      </c>
      <c r="K105" s="1" t="str">
        <f t="shared" si="24"/>
        <v>null</v>
      </c>
      <c r="L105" s="6"/>
      <c r="M105" s="10" t="str">
        <f>_xlfn.TEXTJOIN("=",FALSE,A$2,A105)</f>
        <v>Id=103,</v>
      </c>
      <c r="N105" s="10" t="str">
        <f>_xlfn.TEXTJOIN("=",FALSE,B$2,B105)</f>
        <v>Title="سورینام",</v>
      </c>
      <c r="O105" s="10" t="str">
        <f>_xlfn.TEXTJOIN("=",FALSE,C$2,C105)</f>
        <v>ParentId=null,</v>
      </c>
      <c r="P105" s="10" t="str">
        <f>_xlfn.TEXTJOIN("=",FALSE,D$2,D105)</f>
        <v>Guid=Guid.Parse("6A2CFF8B-5B23-42C7-AEB4-556ACBFE7789"),</v>
      </c>
      <c r="Q105" s="10" t="str">
        <f t="shared" ca="1" si="25"/>
        <v>CreatedDate=new DateTime (2026,3,25,4,26,24),</v>
      </c>
      <c r="R105" s="10" t="str">
        <f t="shared" si="26"/>
        <v>CreatedUserId=null,</v>
      </c>
      <c r="S105" s="10" t="str">
        <f t="shared" si="27"/>
        <v>Description= "Created by seeding data",</v>
      </c>
      <c r="T105" s="10" t="str">
        <f t="shared" si="28"/>
        <v>IsActive=true,</v>
      </c>
      <c r="U105" s="10" t="str">
        <f t="shared" si="29"/>
        <v>IsDeleted=false,</v>
      </c>
      <c r="V105" s="10" t="str">
        <f t="shared" si="30"/>
        <v>LastModifiedDate=null,</v>
      </c>
      <c r="W105" s="10" t="str">
        <f t="shared" si="31"/>
        <v>LastModifiedUserId=null</v>
      </c>
      <c r="X105" s="9" t="str">
        <f t="shared" ca="1" si="32"/>
        <v>Id=103,Title="سورینام",ParentId=null,Guid=Guid.Parse("6A2CFF8B-5B23-42C7-AEB4-556ACBFE7789"),CreatedDate=new DateTime (2026,3,25,4,26,24),CreatedUserId=null,Description= "Created by seeding data",IsActive=true,IsDeleted=false,LastModifiedDate=null,LastModifiedUserId=null</v>
      </c>
      <c r="Y105" s="9" t="str">
        <f t="shared" ca="1" si="33"/>
        <v>new State{Id=103,Title="سورینام",ParentId=null,Guid=Guid.Parse("6A2CFF8B-5B23-42C7-AEB4-556ACBFE7789"),CreatedDate=new DateTime (2026,3,25,4,26,24),CreatedUserId=null,Description= "Created by seeding data",IsActive=true,IsDeleted=false,LastModifiedDate=null,LastModifiedUserId=null},</v>
      </c>
    </row>
    <row r="106" spans="1:25" x14ac:dyDescent="0.5">
      <c r="A106" s="1" t="str">
        <f t="shared" si="17"/>
        <v>104,</v>
      </c>
      <c r="B106" s="1" t="s">
        <v>115</v>
      </c>
      <c r="C106" s="1" t="str">
        <f t="shared" si="18"/>
        <v>null,</v>
      </c>
      <c r="D106" s="1" t="s">
        <v>311</v>
      </c>
      <c r="E106" s="1" t="str">
        <f t="shared" ca="1" si="19"/>
        <v>new DateTime (2026,3,25,4,26,24),</v>
      </c>
      <c r="F106" s="1" t="str">
        <f t="shared" si="20"/>
        <v>null,</v>
      </c>
      <c r="G106" s="1" t="s">
        <v>207</v>
      </c>
      <c r="H106" s="1" t="str">
        <f t="shared" si="21"/>
        <v>true,</v>
      </c>
      <c r="I106" s="1" t="str">
        <f t="shared" si="22"/>
        <v>false,</v>
      </c>
      <c r="J106" s="1" t="str">
        <f t="shared" si="23"/>
        <v>null,</v>
      </c>
      <c r="K106" s="1" t="str">
        <f t="shared" si="24"/>
        <v>null</v>
      </c>
      <c r="L106" s="6"/>
      <c r="M106" s="10" t="str">
        <f>_xlfn.TEXTJOIN("=",FALSE,A$2,A106)</f>
        <v>Id=104,</v>
      </c>
      <c r="N106" s="10" t="str">
        <f>_xlfn.TEXTJOIN("=",FALSE,B$2,B106)</f>
        <v>Title="سوریه",</v>
      </c>
      <c r="O106" s="10" t="str">
        <f>_xlfn.TEXTJOIN("=",FALSE,C$2,C106)</f>
        <v>ParentId=null,</v>
      </c>
      <c r="P106" s="10" t="str">
        <f>_xlfn.TEXTJOIN("=",FALSE,D$2,D106)</f>
        <v>Guid=Guid.Parse("DC026177-6086-41C6-A5D3-028A739CFB75"),</v>
      </c>
      <c r="Q106" s="10" t="str">
        <f t="shared" ca="1" si="25"/>
        <v>CreatedDate=new DateTime (2026,3,25,4,26,24),</v>
      </c>
      <c r="R106" s="10" t="str">
        <f t="shared" si="26"/>
        <v>CreatedUserId=null,</v>
      </c>
      <c r="S106" s="10" t="str">
        <f t="shared" si="27"/>
        <v>Description= "Created by seeding data",</v>
      </c>
      <c r="T106" s="10" t="str">
        <f t="shared" si="28"/>
        <v>IsActive=true,</v>
      </c>
      <c r="U106" s="10" t="str">
        <f t="shared" si="29"/>
        <v>IsDeleted=false,</v>
      </c>
      <c r="V106" s="10" t="str">
        <f t="shared" si="30"/>
        <v>LastModifiedDate=null,</v>
      </c>
      <c r="W106" s="10" t="str">
        <f t="shared" si="31"/>
        <v>LastModifiedUserId=null</v>
      </c>
      <c r="X106" s="9" t="str">
        <f t="shared" ca="1" si="32"/>
        <v>Id=104,Title="سوریه",ParentId=null,Guid=Guid.Parse("DC026177-6086-41C6-A5D3-028A739CFB75"),CreatedDate=new DateTime (2026,3,25,4,26,24),CreatedUserId=null,Description= "Created by seeding data",IsActive=true,IsDeleted=false,LastModifiedDate=null,LastModifiedUserId=null</v>
      </c>
      <c r="Y106" s="9" t="str">
        <f t="shared" ca="1" si="33"/>
        <v>new State{Id=104,Title="سوریه",ParentId=null,Guid=Guid.Parse("DC026177-6086-41C6-A5D3-028A739CFB75"),CreatedDate=new DateTime (2026,3,25,4,26,24),CreatedUserId=null,Description= "Created by seeding data",IsActive=true,IsDeleted=false,LastModifiedDate=null,LastModifiedUserId=null},</v>
      </c>
    </row>
    <row r="107" spans="1:25" x14ac:dyDescent="0.5">
      <c r="A107" s="1" t="str">
        <f t="shared" si="17"/>
        <v>105,</v>
      </c>
      <c r="B107" s="1" t="s">
        <v>116</v>
      </c>
      <c r="C107" s="1" t="str">
        <f t="shared" si="18"/>
        <v>null,</v>
      </c>
      <c r="D107" s="1" t="s">
        <v>312</v>
      </c>
      <c r="E107" s="1" t="str">
        <f t="shared" ca="1" si="19"/>
        <v>new DateTime (2026,3,25,4,26,24),</v>
      </c>
      <c r="F107" s="1" t="str">
        <f t="shared" si="20"/>
        <v>null,</v>
      </c>
      <c r="G107" s="1" t="s">
        <v>207</v>
      </c>
      <c r="H107" s="1" t="str">
        <f t="shared" si="21"/>
        <v>true,</v>
      </c>
      <c r="I107" s="1" t="str">
        <f t="shared" si="22"/>
        <v>false,</v>
      </c>
      <c r="J107" s="1" t="str">
        <f t="shared" si="23"/>
        <v>null,</v>
      </c>
      <c r="K107" s="1" t="str">
        <f t="shared" si="24"/>
        <v>null</v>
      </c>
      <c r="L107" s="6"/>
      <c r="M107" s="10" t="str">
        <f>_xlfn.TEXTJOIN("=",FALSE,A$2,A107)</f>
        <v>Id=105,</v>
      </c>
      <c r="N107" s="10" t="str">
        <f>_xlfn.TEXTJOIN("=",FALSE,B$2,B107)</f>
        <v>Title="سومالی",</v>
      </c>
      <c r="O107" s="10" t="str">
        <f>_xlfn.TEXTJOIN("=",FALSE,C$2,C107)</f>
        <v>ParentId=null,</v>
      </c>
      <c r="P107" s="10" t="str">
        <f>_xlfn.TEXTJOIN("=",FALSE,D$2,D107)</f>
        <v>Guid=Guid.Parse("211C75B7-F28B-49E7-AA37-1704B88391E9"),</v>
      </c>
      <c r="Q107" s="10" t="str">
        <f t="shared" ca="1" si="25"/>
        <v>CreatedDate=new DateTime (2026,3,25,4,26,24),</v>
      </c>
      <c r="R107" s="10" t="str">
        <f t="shared" si="26"/>
        <v>CreatedUserId=null,</v>
      </c>
      <c r="S107" s="10" t="str">
        <f t="shared" si="27"/>
        <v>Description= "Created by seeding data",</v>
      </c>
      <c r="T107" s="10" t="str">
        <f t="shared" si="28"/>
        <v>IsActive=true,</v>
      </c>
      <c r="U107" s="10" t="str">
        <f t="shared" si="29"/>
        <v>IsDeleted=false,</v>
      </c>
      <c r="V107" s="10" t="str">
        <f t="shared" si="30"/>
        <v>LastModifiedDate=null,</v>
      </c>
      <c r="W107" s="10" t="str">
        <f t="shared" si="31"/>
        <v>LastModifiedUserId=null</v>
      </c>
      <c r="X107" s="9" t="str">
        <f t="shared" ca="1" si="32"/>
        <v>Id=105,Title="سومالی",ParentId=null,Guid=Guid.Parse("211C75B7-F28B-49E7-AA37-1704B88391E9"),CreatedDate=new DateTime (2026,3,25,4,26,24),CreatedUserId=null,Description= "Created by seeding data",IsActive=true,IsDeleted=false,LastModifiedDate=null,LastModifiedUserId=null</v>
      </c>
      <c r="Y107" s="9" t="str">
        <f t="shared" ca="1" si="33"/>
        <v>new State{Id=105,Title="سومالی",ParentId=null,Guid=Guid.Parse("211C75B7-F28B-49E7-AA37-1704B88391E9"),CreatedDate=new DateTime (2026,3,25,4,26,24),CreatedUserId=null,Description= "Created by seeding data",IsActive=true,IsDeleted=false,LastModifiedDate=null,LastModifiedUserId=null},</v>
      </c>
    </row>
    <row r="108" spans="1:25" x14ac:dyDescent="0.5">
      <c r="A108" s="1" t="str">
        <f t="shared" si="17"/>
        <v>106,</v>
      </c>
      <c r="B108" s="1" t="s">
        <v>117</v>
      </c>
      <c r="C108" s="1" t="str">
        <f t="shared" si="18"/>
        <v>null,</v>
      </c>
      <c r="D108" s="1" t="s">
        <v>313</v>
      </c>
      <c r="E108" s="1" t="str">
        <f t="shared" ca="1" si="19"/>
        <v>new DateTime (2026,3,25,4,26,24),</v>
      </c>
      <c r="F108" s="1" t="str">
        <f t="shared" si="20"/>
        <v>null,</v>
      </c>
      <c r="G108" s="1" t="s">
        <v>207</v>
      </c>
      <c r="H108" s="1" t="str">
        <f t="shared" si="21"/>
        <v>true,</v>
      </c>
      <c r="I108" s="1" t="str">
        <f t="shared" si="22"/>
        <v>false,</v>
      </c>
      <c r="J108" s="1" t="str">
        <f t="shared" si="23"/>
        <v>null,</v>
      </c>
      <c r="K108" s="1" t="str">
        <f t="shared" si="24"/>
        <v>null</v>
      </c>
      <c r="L108" s="6"/>
      <c r="M108" s="10" t="str">
        <f>_xlfn.TEXTJOIN("=",FALSE,A$2,A108)</f>
        <v>Id=106,</v>
      </c>
      <c r="N108" s="10" t="str">
        <f>_xlfn.TEXTJOIN("=",FALSE,B$2,B108)</f>
        <v>Title="سوئد",</v>
      </c>
      <c r="O108" s="10" t="str">
        <f>_xlfn.TEXTJOIN("=",FALSE,C$2,C108)</f>
        <v>ParentId=null,</v>
      </c>
      <c r="P108" s="10" t="str">
        <f>_xlfn.TEXTJOIN("=",FALSE,D$2,D108)</f>
        <v>Guid=Guid.Parse("AAF2AE71-CE64-4653-BD12-96B5915BEF60"),</v>
      </c>
      <c r="Q108" s="10" t="str">
        <f t="shared" ca="1" si="25"/>
        <v>CreatedDate=new DateTime (2026,3,25,4,26,24),</v>
      </c>
      <c r="R108" s="10" t="str">
        <f t="shared" si="26"/>
        <v>CreatedUserId=null,</v>
      </c>
      <c r="S108" s="10" t="str">
        <f t="shared" si="27"/>
        <v>Description= "Created by seeding data",</v>
      </c>
      <c r="T108" s="10" t="str">
        <f t="shared" si="28"/>
        <v>IsActive=true,</v>
      </c>
      <c r="U108" s="10" t="str">
        <f t="shared" si="29"/>
        <v>IsDeleted=false,</v>
      </c>
      <c r="V108" s="10" t="str">
        <f t="shared" si="30"/>
        <v>LastModifiedDate=null,</v>
      </c>
      <c r="W108" s="10" t="str">
        <f t="shared" si="31"/>
        <v>LastModifiedUserId=null</v>
      </c>
      <c r="X108" s="9" t="str">
        <f t="shared" ca="1" si="32"/>
        <v>Id=106,Title="سوئد",ParentId=null,Guid=Guid.Parse("AAF2AE71-CE64-4653-BD12-96B5915BEF60"),CreatedDate=new DateTime (2026,3,25,4,26,24),CreatedUserId=null,Description= "Created by seeding data",IsActive=true,IsDeleted=false,LastModifiedDate=null,LastModifiedUserId=null</v>
      </c>
      <c r="Y108" s="9" t="str">
        <f t="shared" ca="1" si="33"/>
        <v>new State{Id=106,Title="سوئد",ParentId=null,Guid=Guid.Parse("AAF2AE71-CE64-4653-BD12-96B5915BEF60"),CreatedDate=new DateTime (2026,3,25,4,26,24),CreatedUserId=null,Description= "Created by seeding data",IsActive=true,IsDeleted=false,LastModifiedDate=null,LastModifiedUserId=null},</v>
      </c>
    </row>
    <row r="109" spans="1:25" x14ac:dyDescent="0.5">
      <c r="A109" s="1" t="str">
        <f t="shared" si="17"/>
        <v>107,</v>
      </c>
      <c r="B109" s="1" t="s">
        <v>118</v>
      </c>
      <c r="C109" s="1" t="str">
        <f t="shared" si="18"/>
        <v>null,</v>
      </c>
      <c r="D109" s="1" t="s">
        <v>314</v>
      </c>
      <c r="E109" s="1" t="str">
        <f t="shared" ca="1" si="19"/>
        <v>new DateTime (2026,3,25,4,26,24),</v>
      </c>
      <c r="F109" s="1" t="str">
        <f t="shared" si="20"/>
        <v>null,</v>
      </c>
      <c r="G109" s="1" t="s">
        <v>207</v>
      </c>
      <c r="H109" s="1" t="str">
        <f t="shared" si="21"/>
        <v>true,</v>
      </c>
      <c r="I109" s="1" t="str">
        <f t="shared" si="22"/>
        <v>false,</v>
      </c>
      <c r="J109" s="1" t="str">
        <f t="shared" si="23"/>
        <v>null,</v>
      </c>
      <c r="K109" s="1" t="str">
        <f t="shared" si="24"/>
        <v>null</v>
      </c>
      <c r="L109" s="6"/>
      <c r="M109" s="10" t="str">
        <f>_xlfn.TEXTJOIN("=",FALSE,A$2,A109)</f>
        <v>Id=107,</v>
      </c>
      <c r="N109" s="10" t="str">
        <f>_xlfn.TEXTJOIN("=",FALSE,B$2,B109)</f>
        <v>Title="سوئیس",</v>
      </c>
      <c r="O109" s="10" t="str">
        <f>_xlfn.TEXTJOIN("=",FALSE,C$2,C109)</f>
        <v>ParentId=null,</v>
      </c>
      <c r="P109" s="10" t="str">
        <f>_xlfn.TEXTJOIN("=",FALSE,D$2,D109)</f>
        <v>Guid=Guid.Parse("0239B492-88F1-4A79-BC6E-ED7504FE1E04"),</v>
      </c>
      <c r="Q109" s="10" t="str">
        <f t="shared" ca="1" si="25"/>
        <v>CreatedDate=new DateTime (2026,3,25,4,26,24),</v>
      </c>
      <c r="R109" s="10" t="str">
        <f t="shared" si="26"/>
        <v>CreatedUserId=null,</v>
      </c>
      <c r="S109" s="10" t="str">
        <f t="shared" si="27"/>
        <v>Description= "Created by seeding data",</v>
      </c>
      <c r="T109" s="10" t="str">
        <f t="shared" si="28"/>
        <v>IsActive=true,</v>
      </c>
      <c r="U109" s="10" t="str">
        <f t="shared" si="29"/>
        <v>IsDeleted=false,</v>
      </c>
      <c r="V109" s="10" t="str">
        <f t="shared" si="30"/>
        <v>LastModifiedDate=null,</v>
      </c>
      <c r="W109" s="10" t="str">
        <f t="shared" si="31"/>
        <v>LastModifiedUserId=null</v>
      </c>
      <c r="X109" s="9" t="str">
        <f t="shared" ca="1" si="32"/>
        <v>Id=107,Title="سوئیس",ParentId=null,Guid=Guid.Parse("0239B492-88F1-4A79-BC6E-ED7504FE1E04"),CreatedDate=new DateTime (2026,3,25,4,26,24),CreatedUserId=null,Description= "Created by seeding data",IsActive=true,IsDeleted=false,LastModifiedDate=null,LastModifiedUserId=null</v>
      </c>
      <c r="Y109" s="9" t="str">
        <f t="shared" ca="1" si="33"/>
        <v>new State{Id=107,Title="سوئیس",ParentId=null,Guid=Guid.Parse("0239B492-88F1-4A79-BC6E-ED7504FE1E04"),CreatedDate=new DateTime (2026,3,25,4,26,24),CreatedUserId=null,Description= "Created by seeding data",IsActive=true,IsDeleted=false,LastModifiedDate=null,LastModifiedUserId=null},</v>
      </c>
    </row>
    <row r="110" spans="1:25" x14ac:dyDescent="0.5">
      <c r="A110" s="1" t="str">
        <f t="shared" si="17"/>
        <v>108,</v>
      </c>
      <c r="B110" s="1" t="s">
        <v>119</v>
      </c>
      <c r="C110" s="1" t="str">
        <f t="shared" si="18"/>
        <v>null,</v>
      </c>
      <c r="D110" s="1" t="s">
        <v>315</v>
      </c>
      <c r="E110" s="1" t="str">
        <f t="shared" ca="1" si="19"/>
        <v>new DateTime (2026,3,25,4,26,24),</v>
      </c>
      <c r="F110" s="1" t="str">
        <f t="shared" si="20"/>
        <v>null,</v>
      </c>
      <c r="G110" s="1" t="s">
        <v>207</v>
      </c>
      <c r="H110" s="1" t="str">
        <f t="shared" si="21"/>
        <v>true,</v>
      </c>
      <c r="I110" s="1" t="str">
        <f t="shared" si="22"/>
        <v>false,</v>
      </c>
      <c r="J110" s="1" t="str">
        <f t="shared" si="23"/>
        <v>null,</v>
      </c>
      <c r="K110" s="1" t="str">
        <f t="shared" si="24"/>
        <v>null</v>
      </c>
      <c r="L110" s="6"/>
      <c r="M110" s="10" t="str">
        <f>_xlfn.TEXTJOIN("=",FALSE,A$2,A110)</f>
        <v>Id=108,</v>
      </c>
      <c r="N110" s="10" t="str">
        <f>_xlfn.TEXTJOIN("=",FALSE,B$2,B110)</f>
        <v>Title="سیرالئون",</v>
      </c>
      <c r="O110" s="10" t="str">
        <f>_xlfn.TEXTJOIN("=",FALSE,C$2,C110)</f>
        <v>ParentId=null,</v>
      </c>
      <c r="P110" s="10" t="str">
        <f>_xlfn.TEXTJOIN("=",FALSE,D$2,D110)</f>
        <v>Guid=Guid.Parse("38F5E4DA-97FA-4C0A-B363-95D0F79E50E2"),</v>
      </c>
      <c r="Q110" s="10" t="str">
        <f t="shared" ca="1" si="25"/>
        <v>CreatedDate=new DateTime (2026,3,25,4,26,24),</v>
      </c>
      <c r="R110" s="10" t="str">
        <f t="shared" si="26"/>
        <v>CreatedUserId=null,</v>
      </c>
      <c r="S110" s="10" t="str">
        <f t="shared" si="27"/>
        <v>Description= "Created by seeding data",</v>
      </c>
      <c r="T110" s="10" t="str">
        <f t="shared" si="28"/>
        <v>IsActive=true,</v>
      </c>
      <c r="U110" s="10" t="str">
        <f t="shared" si="29"/>
        <v>IsDeleted=false,</v>
      </c>
      <c r="V110" s="10" t="str">
        <f t="shared" si="30"/>
        <v>LastModifiedDate=null,</v>
      </c>
      <c r="W110" s="10" t="str">
        <f t="shared" si="31"/>
        <v>LastModifiedUserId=null</v>
      </c>
      <c r="X110" s="9" t="str">
        <f t="shared" ca="1" si="32"/>
        <v>Id=108,Title="سیرالئون",ParentId=null,Guid=Guid.Parse("38F5E4DA-97FA-4C0A-B363-95D0F79E50E2"),CreatedDate=new DateTime (2026,3,25,4,26,24),CreatedUserId=null,Description= "Created by seeding data",IsActive=true,IsDeleted=false,LastModifiedDate=null,LastModifiedUserId=null</v>
      </c>
      <c r="Y110" s="9" t="str">
        <f t="shared" ca="1" si="33"/>
        <v>new State{Id=108,Title="سیرالئون",ParentId=null,Guid=Guid.Parse("38F5E4DA-97FA-4C0A-B363-95D0F79E50E2"),CreatedDate=new DateTime (2026,3,25,4,26,24),CreatedUserId=null,Description= "Created by seeding data",IsActive=true,IsDeleted=false,LastModifiedDate=null,LastModifiedUserId=null},</v>
      </c>
    </row>
    <row r="111" spans="1:25" x14ac:dyDescent="0.5">
      <c r="A111" s="1" t="str">
        <f t="shared" si="17"/>
        <v>109,</v>
      </c>
      <c r="B111" s="1" t="s">
        <v>120</v>
      </c>
      <c r="C111" s="1" t="str">
        <f t="shared" si="18"/>
        <v>null,</v>
      </c>
      <c r="D111" s="1" t="s">
        <v>316</v>
      </c>
      <c r="E111" s="1" t="str">
        <f t="shared" ca="1" si="19"/>
        <v>new DateTime (2026,3,25,4,26,24),</v>
      </c>
      <c r="F111" s="1" t="str">
        <f t="shared" si="20"/>
        <v>null,</v>
      </c>
      <c r="G111" s="1" t="s">
        <v>207</v>
      </c>
      <c r="H111" s="1" t="str">
        <f t="shared" si="21"/>
        <v>true,</v>
      </c>
      <c r="I111" s="1" t="str">
        <f t="shared" si="22"/>
        <v>false,</v>
      </c>
      <c r="J111" s="1" t="str">
        <f t="shared" si="23"/>
        <v>null,</v>
      </c>
      <c r="K111" s="1" t="str">
        <f t="shared" si="24"/>
        <v>null</v>
      </c>
      <c r="L111" s="6"/>
      <c r="M111" s="10" t="str">
        <f>_xlfn.TEXTJOIN("=",FALSE,A$2,A111)</f>
        <v>Id=109,</v>
      </c>
      <c r="N111" s="10" t="str">
        <f>_xlfn.TEXTJOIN("=",FALSE,B$2,B111)</f>
        <v>Title="سیشل",</v>
      </c>
      <c r="O111" s="10" t="str">
        <f>_xlfn.TEXTJOIN("=",FALSE,C$2,C111)</f>
        <v>ParentId=null,</v>
      </c>
      <c r="P111" s="10" t="str">
        <f>_xlfn.TEXTJOIN("=",FALSE,D$2,D111)</f>
        <v>Guid=Guid.Parse("557A987F-6D11-4153-A509-FA957CA46641"),</v>
      </c>
      <c r="Q111" s="10" t="str">
        <f t="shared" ca="1" si="25"/>
        <v>CreatedDate=new DateTime (2026,3,25,4,26,24),</v>
      </c>
      <c r="R111" s="10" t="str">
        <f t="shared" si="26"/>
        <v>CreatedUserId=null,</v>
      </c>
      <c r="S111" s="10" t="str">
        <f t="shared" si="27"/>
        <v>Description= "Created by seeding data",</v>
      </c>
      <c r="T111" s="10" t="str">
        <f t="shared" si="28"/>
        <v>IsActive=true,</v>
      </c>
      <c r="U111" s="10" t="str">
        <f t="shared" si="29"/>
        <v>IsDeleted=false,</v>
      </c>
      <c r="V111" s="10" t="str">
        <f t="shared" si="30"/>
        <v>LastModifiedDate=null,</v>
      </c>
      <c r="W111" s="10" t="str">
        <f t="shared" si="31"/>
        <v>LastModifiedUserId=null</v>
      </c>
      <c r="X111" s="9" t="str">
        <f t="shared" ca="1" si="32"/>
        <v>Id=109,Title="سیشل",ParentId=null,Guid=Guid.Parse("557A987F-6D11-4153-A509-FA957CA46641"),CreatedDate=new DateTime (2026,3,25,4,26,24),CreatedUserId=null,Description= "Created by seeding data",IsActive=true,IsDeleted=false,LastModifiedDate=null,LastModifiedUserId=null</v>
      </c>
      <c r="Y111" s="9" t="str">
        <f t="shared" ca="1" si="33"/>
        <v>new State{Id=109,Title="سیشل",ParentId=null,Guid=Guid.Parse("557A987F-6D11-4153-A509-FA957CA46641"),CreatedDate=new DateTime (2026,3,25,4,26,24),CreatedUserId=null,Description= "Created by seeding data",IsActive=true,IsDeleted=false,LastModifiedDate=null,LastModifiedUserId=null},</v>
      </c>
    </row>
    <row r="112" spans="1:25" x14ac:dyDescent="0.5">
      <c r="A112" s="1" t="str">
        <f t="shared" si="17"/>
        <v>110,</v>
      </c>
      <c r="B112" s="1" t="s">
        <v>121</v>
      </c>
      <c r="C112" s="1" t="str">
        <f t="shared" si="18"/>
        <v>null,</v>
      </c>
      <c r="D112" s="1" t="s">
        <v>317</v>
      </c>
      <c r="E112" s="1" t="str">
        <f t="shared" ca="1" si="19"/>
        <v>new DateTime (2026,3,25,4,26,24),</v>
      </c>
      <c r="F112" s="1" t="str">
        <f t="shared" si="20"/>
        <v>null,</v>
      </c>
      <c r="G112" s="1" t="s">
        <v>207</v>
      </c>
      <c r="H112" s="1" t="str">
        <f t="shared" si="21"/>
        <v>true,</v>
      </c>
      <c r="I112" s="1" t="str">
        <f t="shared" si="22"/>
        <v>false,</v>
      </c>
      <c r="J112" s="1" t="str">
        <f t="shared" si="23"/>
        <v>null,</v>
      </c>
      <c r="K112" s="1" t="str">
        <f t="shared" si="24"/>
        <v>null</v>
      </c>
      <c r="L112" s="6"/>
      <c r="M112" s="10" t="str">
        <f>_xlfn.TEXTJOIN("=",FALSE,A$2,A112)</f>
        <v>Id=110,</v>
      </c>
      <c r="N112" s="10" t="str">
        <f>_xlfn.TEXTJOIN("=",FALSE,B$2,B112)</f>
        <v>Title="شیلی",</v>
      </c>
      <c r="O112" s="10" t="str">
        <f>_xlfn.TEXTJOIN("=",FALSE,C$2,C112)</f>
        <v>ParentId=null,</v>
      </c>
      <c r="P112" s="10" t="str">
        <f>_xlfn.TEXTJOIN("=",FALSE,D$2,D112)</f>
        <v>Guid=Guid.Parse("5AD7AD45-CC49-47C8-B8C9-0B46E6DF44DC"),</v>
      </c>
      <c r="Q112" s="10" t="str">
        <f t="shared" ca="1" si="25"/>
        <v>CreatedDate=new DateTime (2026,3,25,4,26,24),</v>
      </c>
      <c r="R112" s="10" t="str">
        <f t="shared" si="26"/>
        <v>CreatedUserId=null,</v>
      </c>
      <c r="S112" s="10" t="str">
        <f t="shared" si="27"/>
        <v>Description= "Created by seeding data",</v>
      </c>
      <c r="T112" s="10" t="str">
        <f t="shared" si="28"/>
        <v>IsActive=true,</v>
      </c>
      <c r="U112" s="10" t="str">
        <f t="shared" si="29"/>
        <v>IsDeleted=false,</v>
      </c>
      <c r="V112" s="10" t="str">
        <f t="shared" si="30"/>
        <v>LastModifiedDate=null,</v>
      </c>
      <c r="W112" s="10" t="str">
        <f t="shared" si="31"/>
        <v>LastModifiedUserId=null</v>
      </c>
      <c r="X112" s="9" t="str">
        <f t="shared" ca="1" si="32"/>
        <v>Id=110,Title="شیلی",ParentId=null,Guid=Guid.Parse("5AD7AD45-CC49-47C8-B8C9-0B46E6DF44DC"),CreatedDate=new DateTime (2026,3,25,4,26,24),CreatedUserId=null,Description= "Created by seeding data",IsActive=true,IsDeleted=false,LastModifiedDate=null,LastModifiedUserId=null</v>
      </c>
      <c r="Y112" s="9" t="str">
        <f t="shared" ca="1" si="33"/>
        <v>new State{Id=110,Title="شیلی",ParentId=null,Guid=Guid.Parse("5AD7AD45-CC49-47C8-B8C9-0B46E6DF44DC"),CreatedDate=new DateTime (2026,3,25,4,26,24),CreatedUserId=null,Description= "Created by seeding data",IsActive=true,IsDeleted=false,LastModifiedDate=null,LastModifiedUserId=null},</v>
      </c>
    </row>
    <row r="113" spans="1:25" x14ac:dyDescent="0.5">
      <c r="A113" s="1" t="str">
        <f t="shared" si="17"/>
        <v>111,</v>
      </c>
      <c r="B113" s="1" t="s">
        <v>122</v>
      </c>
      <c r="C113" s="1" t="str">
        <f t="shared" si="18"/>
        <v>null,</v>
      </c>
      <c r="D113" s="1" t="s">
        <v>318</v>
      </c>
      <c r="E113" s="1" t="str">
        <f t="shared" ca="1" si="19"/>
        <v>new DateTime (2026,3,25,4,26,24),</v>
      </c>
      <c r="F113" s="1" t="str">
        <f t="shared" si="20"/>
        <v>null,</v>
      </c>
      <c r="G113" s="1" t="s">
        <v>207</v>
      </c>
      <c r="H113" s="1" t="str">
        <f t="shared" si="21"/>
        <v>true,</v>
      </c>
      <c r="I113" s="1" t="str">
        <f t="shared" si="22"/>
        <v>false,</v>
      </c>
      <c r="J113" s="1" t="str">
        <f t="shared" si="23"/>
        <v>null,</v>
      </c>
      <c r="K113" s="1" t="str">
        <f t="shared" si="24"/>
        <v>null</v>
      </c>
      <c r="L113" s="6"/>
      <c r="M113" s="10" t="str">
        <f>_xlfn.TEXTJOIN("=",FALSE,A$2,A113)</f>
        <v>Id=111,</v>
      </c>
      <c r="N113" s="10" t="str">
        <f>_xlfn.TEXTJOIN("=",FALSE,B$2,B113)</f>
        <v>Title="صربستان",</v>
      </c>
      <c r="O113" s="10" t="str">
        <f>_xlfn.TEXTJOIN("=",FALSE,C$2,C113)</f>
        <v>ParentId=null,</v>
      </c>
      <c r="P113" s="10" t="str">
        <f>_xlfn.TEXTJOIN("=",FALSE,D$2,D113)</f>
        <v>Guid=Guid.Parse("E4B4A865-070B-4B5C-B5F1-0E4D7D58D157"),</v>
      </c>
      <c r="Q113" s="10" t="str">
        <f t="shared" ca="1" si="25"/>
        <v>CreatedDate=new DateTime (2026,3,25,4,26,24),</v>
      </c>
      <c r="R113" s="10" t="str">
        <f t="shared" si="26"/>
        <v>CreatedUserId=null,</v>
      </c>
      <c r="S113" s="10" t="str">
        <f t="shared" si="27"/>
        <v>Description= "Created by seeding data",</v>
      </c>
      <c r="T113" s="10" t="str">
        <f t="shared" si="28"/>
        <v>IsActive=true,</v>
      </c>
      <c r="U113" s="10" t="str">
        <f t="shared" si="29"/>
        <v>IsDeleted=false,</v>
      </c>
      <c r="V113" s="10" t="str">
        <f t="shared" si="30"/>
        <v>LastModifiedDate=null,</v>
      </c>
      <c r="W113" s="10" t="str">
        <f t="shared" si="31"/>
        <v>LastModifiedUserId=null</v>
      </c>
      <c r="X113" s="9" t="str">
        <f t="shared" ca="1" si="32"/>
        <v>Id=111,Title="صربستان",ParentId=null,Guid=Guid.Parse("E4B4A865-070B-4B5C-B5F1-0E4D7D58D157"),CreatedDate=new DateTime (2026,3,25,4,26,24),CreatedUserId=null,Description= "Created by seeding data",IsActive=true,IsDeleted=false,LastModifiedDate=null,LastModifiedUserId=null</v>
      </c>
      <c r="Y113" s="9" t="str">
        <f t="shared" ca="1" si="33"/>
        <v>new State{Id=111,Title="صربستان",ParentId=null,Guid=Guid.Parse("E4B4A865-070B-4B5C-B5F1-0E4D7D58D157"),CreatedDate=new DateTime (2026,3,25,4,26,24),CreatedUserId=null,Description= "Created by seeding data",IsActive=true,IsDeleted=false,LastModifiedDate=null,LastModifiedUserId=null},</v>
      </c>
    </row>
    <row r="114" spans="1:25" x14ac:dyDescent="0.5">
      <c r="A114" s="1" t="str">
        <f t="shared" si="17"/>
        <v>112,</v>
      </c>
      <c r="B114" s="1" t="s">
        <v>123</v>
      </c>
      <c r="C114" s="1" t="str">
        <f t="shared" si="18"/>
        <v>null,</v>
      </c>
      <c r="D114" s="1" t="s">
        <v>319</v>
      </c>
      <c r="E114" s="1" t="str">
        <f t="shared" ca="1" si="19"/>
        <v>new DateTime (2026,3,25,4,26,24),</v>
      </c>
      <c r="F114" s="1" t="str">
        <f t="shared" si="20"/>
        <v>null,</v>
      </c>
      <c r="G114" s="1" t="s">
        <v>207</v>
      </c>
      <c r="H114" s="1" t="str">
        <f t="shared" si="21"/>
        <v>true,</v>
      </c>
      <c r="I114" s="1" t="str">
        <f t="shared" si="22"/>
        <v>false,</v>
      </c>
      <c r="J114" s="1" t="str">
        <f t="shared" si="23"/>
        <v>null,</v>
      </c>
      <c r="K114" s="1" t="str">
        <f t="shared" si="24"/>
        <v>null</v>
      </c>
      <c r="L114" s="6"/>
      <c r="M114" s="10" t="str">
        <f>_xlfn.TEXTJOIN("=",FALSE,A$2,A114)</f>
        <v>Id=112,</v>
      </c>
      <c r="N114" s="10" t="str">
        <f>_xlfn.TEXTJOIN("=",FALSE,B$2,B114)</f>
        <v>Title="عراق",</v>
      </c>
      <c r="O114" s="10" t="str">
        <f>_xlfn.TEXTJOIN("=",FALSE,C$2,C114)</f>
        <v>ParentId=null,</v>
      </c>
      <c r="P114" s="10" t="str">
        <f>_xlfn.TEXTJOIN("=",FALSE,D$2,D114)</f>
        <v>Guid=Guid.Parse("7A61B61D-D000-42B0-8AC6-920E952862EB"),</v>
      </c>
      <c r="Q114" s="10" t="str">
        <f t="shared" ca="1" si="25"/>
        <v>CreatedDate=new DateTime (2026,3,25,4,26,24),</v>
      </c>
      <c r="R114" s="10" t="str">
        <f t="shared" si="26"/>
        <v>CreatedUserId=null,</v>
      </c>
      <c r="S114" s="10" t="str">
        <f t="shared" si="27"/>
        <v>Description= "Created by seeding data",</v>
      </c>
      <c r="T114" s="10" t="str">
        <f t="shared" si="28"/>
        <v>IsActive=true,</v>
      </c>
      <c r="U114" s="10" t="str">
        <f t="shared" si="29"/>
        <v>IsDeleted=false,</v>
      </c>
      <c r="V114" s="10" t="str">
        <f t="shared" si="30"/>
        <v>LastModifiedDate=null,</v>
      </c>
      <c r="W114" s="10" t="str">
        <f t="shared" si="31"/>
        <v>LastModifiedUserId=null</v>
      </c>
      <c r="X114" s="9" t="str">
        <f t="shared" ca="1" si="32"/>
        <v>Id=112,Title="عراق",ParentId=null,Guid=Guid.Parse("7A61B61D-D000-42B0-8AC6-920E952862EB"),CreatedDate=new DateTime (2026,3,25,4,26,24),CreatedUserId=null,Description= "Created by seeding data",IsActive=true,IsDeleted=false,LastModifiedDate=null,LastModifiedUserId=null</v>
      </c>
      <c r="Y114" s="9" t="str">
        <f t="shared" ca="1" si="33"/>
        <v>new State{Id=112,Title="عراق",ParentId=null,Guid=Guid.Parse("7A61B61D-D000-42B0-8AC6-920E952862EB"),CreatedDate=new DateTime (2026,3,25,4,26,24),CreatedUserId=null,Description= "Created by seeding data",IsActive=true,IsDeleted=false,LastModifiedDate=null,LastModifiedUserId=null},</v>
      </c>
    </row>
    <row r="115" spans="1:25" x14ac:dyDescent="0.5">
      <c r="A115" s="1" t="str">
        <f t="shared" si="17"/>
        <v>113,</v>
      </c>
      <c r="B115" s="1" t="s">
        <v>124</v>
      </c>
      <c r="C115" s="1" t="str">
        <f t="shared" si="18"/>
        <v>null,</v>
      </c>
      <c r="D115" s="1" t="s">
        <v>320</v>
      </c>
      <c r="E115" s="1" t="str">
        <f t="shared" ca="1" si="19"/>
        <v>new DateTime (2026,3,25,4,26,24),</v>
      </c>
      <c r="F115" s="1" t="str">
        <f t="shared" si="20"/>
        <v>null,</v>
      </c>
      <c r="G115" s="1" t="s">
        <v>207</v>
      </c>
      <c r="H115" s="1" t="str">
        <f t="shared" si="21"/>
        <v>true,</v>
      </c>
      <c r="I115" s="1" t="str">
        <f t="shared" si="22"/>
        <v>false,</v>
      </c>
      <c r="J115" s="1" t="str">
        <f t="shared" si="23"/>
        <v>null,</v>
      </c>
      <c r="K115" s="1" t="str">
        <f t="shared" si="24"/>
        <v>null</v>
      </c>
      <c r="L115" s="6"/>
      <c r="M115" s="10" t="str">
        <f>_xlfn.TEXTJOIN("=",FALSE,A$2,A115)</f>
        <v>Id=113,</v>
      </c>
      <c r="N115" s="10" t="str">
        <f>_xlfn.TEXTJOIN("=",FALSE,B$2,B115)</f>
        <v>Title="عربستان سعودی",</v>
      </c>
      <c r="O115" s="10" t="str">
        <f>_xlfn.TEXTJOIN("=",FALSE,C$2,C115)</f>
        <v>ParentId=null,</v>
      </c>
      <c r="P115" s="10" t="str">
        <f>_xlfn.TEXTJOIN("=",FALSE,D$2,D115)</f>
        <v>Guid=Guid.Parse("042A6800-A977-443A-B4DC-E8E64487AF3C"),</v>
      </c>
      <c r="Q115" s="10" t="str">
        <f t="shared" ca="1" si="25"/>
        <v>CreatedDate=new DateTime (2026,3,25,4,26,24),</v>
      </c>
      <c r="R115" s="10" t="str">
        <f t="shared" si="26"/>
        <v>CreatedUserId=null,</v>
      </c>
      <c r="S115" s="10" t="str">
        <f t="shared" si="27"/>
        <v>Description= "Created by seeding data",</v>
      </c>
      <c r="T115" s="10" t="str">
        <f t="shared" si="28"/>
        <v>IsActive=true,</v>
      </c>
      <c r="U115" s="10" t="str">
        <f t="shared" si="29"/>
        <v>IsDeleted=false,</v>
      </c>
      <c r="V115" s="10" t="str">
        <f t="shared" si="30"/>
        <v>LastModifiedDate=null,</v>
      </c>
      <c r="W115" s="10" t="str">
        <f t="shared" si="31"/>
        <v>LastModifiedUserId=null</v>
      </c>
      <c r="X115" s="9" t="str">
        <f t="shared" ca="1" si="32"/>
        <v>Id=113,Title="عربستان سعودی",ParentId=null,Guid=Guid.Parse("042A6800-A977-443A-B4DC-E8E64487AF3C"),CreatedDate=new DateTime (2026,3,25,4,26,24),CreatedUserId=null,Description= "Created by seeding data",IsActive=true,IsDeleted=false,LastModifiedDate=null,LastModifiedUserId=null</v>
      </c>
      <c r="Y115" s="9" t="str">
        <f t="shared" ca="1" si="33"/>
        <v>new State{Id=113,Title="عربستان سعودی",ParentId=null,Guid=Guid.Parse("042A6800-A977-443A-B4DC-E8E64487AF3C"),CreatedDate=new DateTime (2026,3,25,4,26,24),CreatedUserId=null,Description= "Created by seeding data",IsActive=true,IsDeleted=false,LastModifiedDate=null,LastModifiedUserId=null},</v>
      </c>
    </row>
    <row r="116" spans="1:25" x14ac:dyDescent="0.5">
      <c r="A116" s="1" t="str">
        <f t="shared" si="17"/>
        <v>114,</v>
      </c>
      <c r="B116" s="1" t="s">
        <v>125</v>
      </c>
      <c r="C116" s="1" t="str">
        <f t="shared" si="18"/>
        <v>null,</v>
      </c>
      <c r="D116" s="1" t="s">
        <v>321</v>
      </c>
      <c r="E116" s="1" t="str">
        <f t="shared" ca="1" si="19"/>
        <v>new DateTime (2026,3,25,4,26,24),</v>
      </c>
      <c r="F116" s="1" t="str">
        <f t="shared" si="20"/>
        <v>null,</v>
      </c>
      <c r="G116" s="1" t="s">
        <v>207</v>
      </c>
      <c r="H116" s="1" t="str">
        <f t="shared" si="21"/>
        <v>true,</v>
      </c>
      <c r="I116" s="1" t="str">
        <f t="shared" si="22"/>
        <v>false,</v>
      </c>
      <c r="J116" s="1" t="str">
        <f t="shared" si="23"/>
        <v>null,</v>
      </c>
      <c r="K116" s="1" t="str">
        <f t="shared" si="24"/>
        <v>null</v>
      </c>
      <c r="L116" s="6"/>
      <c r="M116" s="10" t="str">
        <f>_xlfn.TEXTJOIN("=",FALSE,A$2,A116)</f>
        <v>Id=114,</v>
      </c>
      <c r="N116" s="10" t="str">
        <f>_xlfn.TEXTJOIN("=",FALSE,B$2,B116)</f>
        <v>Title="عمان",</v>
      </c>
      <c r="O116" s="10" t="str">
        <f>_xlfn.TEXTJOIN("=",FALSE,C$2,C116)</f>
        <v>ParentId=null,</v>
      </c>
      <c r="P116" s="10" t="str">
        <f>_xlfn.TEXTJOIN("=",FALSE,D$2,D116)</f>
        <v>Guid=Guid.Parse("D40CD87B-87A5-415C-A6A8-FBEFE462F94B"),</v>
      </c>
      <c r="Q116" s="10" t="str">
        <f t="shared" ca="1" si="25"/>
        <v>CreatedDate=new DateTime (2026,3,25,4,26,24),</v>
      </c>
      <c r="R116" s="10" t="str">
        <f t="shared" si="26"/>
        <v>CreatedUserId=null,</v>
      </c>
      <c r="S116" s="10" t="str">
        <f t="shared" si="27"/>
        <v>Description= "Created by seeding data",</v>
      </c>
      <c r="T116" s="10" t="str">
        <f t="shared" si="28"/>
        <v>IsActive=true,</v>
      </c>
      <c r="U116" s="10" t="str">
        <f t="shared" si="29"/>
        <v>IsDeleted=false,</v>
      </c>
      <c r="V116" s="10" t="str">
        <f t="shared" si="30"/>
        <v>LastModifiedDate=null,</v>
      </c>
      <c r="W116" s="10" t="str">
        <f t="shared" si="31"/>
        <v>LastModifiedUserId=null</v>
      </c>
      <c r="X116" s="9" t="str">
        <f t="shared" ca="1" si="32"/>
        <v>Id=114,Title="عمان",ParentId=null,Guid=Guid.Parse("D40CD87B-87A5-415C-A6A8-FBEFE462F94B"),CreatedDate=new DateTime (2026,3,25,4,26,24),CreatedUserId=null,Description= "Created by seeding data",IsActive=true,IsDeleted=false,LastModifiedDate=null,LastModifiedUserId=null</v>
      </c>
      <c r="Y116" s="9" t="str">
        <f t="shared" ca="1" si="33"/>
        <v>new State{Id=114,Title="عمان",ParentId=null,Guid=Guid.Parse("D40CD87B-87A5-415C-A6A8-FBEFE462F94B"),CreatedDate=new DateTime (2026,3,25,4,26,24),CreatedUserId=null,Description= "Created by seeding data",IsActive=true,IsDeleted=false,LastModifiedDate=null,LastModifiedUserId=null},</v>
      </c>
    </row>
    <row r="117" spans="1:25" x14ac:dyDescent="0.5">
      <c r="A117" s="1" t="str">
        <f t="shared" si="17"/>
        <v>115,</v>
      </c>
      <c r="B117" s="1" t="s">
        <v>126</v>
      </c>
      <c r="C117" s="1" t="str">
        <f t="shared" si="18"/>
        <v>null,</v>
      </c>
      <c r="D117" s="1" t="s">
        <v>322</v>
      </c>
      <c r="E117" s="1" t="str">
        <f t="shared" ca="1" si="19"/>
        <v>new DateTime (2026,3,25,4,26,24),</v>
      </c>
      <c r="F117" s="1" t="str">
        <f t="shared" si="20"/>
        <v>null,</v>
      </c>
      <c r="G117" s="1" t="s">
        <v>207</v>
      </c>
      <c r="H117" s="1" t="str">
        <f t="shared" si="21"/>
        <v>true,</v>
      </c>
      <c r="I117" s="1" t="str">
        <f t="shared" si="22"/>
        <v>false,</v>
      </c>
      <c r="J117" s="1" t="str">
        <f t="shared" si="23"/>
        <v>null,</v>
      </c>
      <c r="K117" s="1" t="str">
        <f t="shared" si="24"/>
        <v>null</v>
      </c>
      <c r="L117" s="6"/>
      <c r="M117" s="10" t="str">
        <f>_xlfn.TEXTJOIN("=",FALSE,A$2,A117)</f>
        <v>Id=115,</v>
      </c>
      <c r="N117" s="10" t="str">
        <f>_xlfn.TEXTJOIN("=",FALSE,B$2,B117)</f>
        <v>Title="غنا",</v>
      </c>
      <c r="O117" s="10" t="str">
        <f>_xlfn.TEXTJOIN("=",FALSE,C$2,C117)</f>
        <v>ParentId=null,</v>
      </c>
      <c r="P117" s="10" t="str">
        <f>_xlfn.TEXTJOIN("=",FALSE,D$2,D117)</f>
        <v>Guid=Guid.Parse("BF6E1716-5A00-46C0-87FA-87028B9C998B"),</v>
      </c>
      <c r="Q117" s="10" t="str">
        <f t="shared" ca="1" si="25"/>
        <v>CreatedDate=new DateTime (2026,3,25,4,26,24),</v>
      </c>
      <c r="R117" s="10" t="str">
        <f t="shared" si="26"/>
        <v>CreatedUserId=null,</v>
      </c>
      <c r="S117" s="10" t="str">
        <f t="shared" si="27"/>
        <v>Description= "Created by seeding data",</v>
      </c>
      <c r="T117" s="10" t="str">
        <f t="shared" si="28"/>
        <v>IsActive=true,</v>
      </c>
      <c r="U117" s="10" t="str">
        <f t="shared" si="29"/>
        <v>IsDeleted=false,</v>
      </c>
      <c r="V117" s="10" t="str">
        <f t="shared" si="30"/>
        <v>LastModifiedDate=null,</v>
      </c>
      <c r="W117" s="10" t="str">
        <f t="shared" si="31"/>
        <v>LastModifiedUserId=null</v>
      </c>
      <c r="X117" s="9" t="str">
        <f t="shared" ca="1" si="32"/>
        <v>Id=115,Title="غنا",ParentId=null,Guid=Guid.Parse("BF6E1716-5A00-46C0-87FA-87028B9C998B"),CreatedDate=new DateTime (2026,3,25,4,26,24),CreatedUserId=null,Description= "Created by seeding data",IsActive=true,IsDeleted=false,LastModifiedDate=null,LastModifiedUserId=null</v>
      </c>
      <c r="Y117" s="9" t="str">
        <f t="shared" ca="1" si="33"/>
        <v>new State{Id=115,Title="غنا",ParentId=null,Guid=Guid.Parse("BF6E1716-5A00-46C0-87FA-87028B9C998B"),CreatedDate=new DateTime (2026,3,25,4,26,24),CreatedUserId=null,Description= "Created by seeding data",IsActive=true,IsDeleted=false,LastModifiedDate=null,LastModifiedUserId=null},</v>
      </c>
    </row>
    <row r="118" spans="1:25" x14ac:dyDescent="0.5">
      <c r="A118" s="1" t="str">
        <f t="shared" si="17"/>
        <v>116,</v>
      </c>
      <c r="B118" s="1" t="s">
        <v>127</v>
      </c>
      <c r="C118" s="1" t="str">
        <f t="shared" si="18"/>
        <v>null,</v>
      </c>
      <c r="D118" s="1" t="s">
        <v>323</v>
      </c>
      <c r="E118" s="1" t="str">
        <f t="shared" ca="1" si="19"/>
        <v>new DateTime (2026,3,25,4,26,24),</v>
      </c>
      <c r="F118" s="1" t="str">
        <f t="shared" si="20"/>
        <v>null,</v>
      </c>
      <c r="G118" s="1" t="s">
        <v>207</v>
      </c>
      <c r="H118" s="1" t="str">
        <f t="shared" si="21"/>
        <v>true,</v>
      </c>
      <c r="I118" s="1" t="str">
        <f t="shared" si="22"/>
        <v>false,</v>
      </c>
      <c r="J118" s="1" t="str">
        <f t="shared" si="23"/>
        <v>null,</v>
      </c>
      <c r="K118" s="1" t="str">
        <f t="shared" si="24"/>
        <v>null</v>
      </c>
      <c r="L118" s="6"/>
      <c r="M118" s="10" t="str">
        <f>_xlfn.TEXTJOIN("=",FALSE,A$2,A118)</f>
        <v>Id=116,</v>
      </c>
      <c r="N118" s="10" t="str">
        <f>_xlfn.TEXTJOIN("=",FALSE,B$2,B118)</f>
        <v>Title="فرانسه",</v>
      </c>
      <c r="O118" s="10" t="str">
        <f>_xlfn.TEXTJOIN("=",FALSE,C$2,C118)</f>
        <v>ParentId=null,</v>
      </c>
      <c r="P118" s="10" t="str">
        <f>_xlfn.TEXTJOIN("=",FALSE,D$2,D118)</f>
        <v>Guid=Guid.Parse("7A6F2E43-4C90-40BE-BFE9-BC99362F0B03"),</v>
      </c>
      <c r="Q118" s="10" t="str">
        <f t="shared" ca="1" si="25"/>
        <v>CreatedDate=new DateTime (2026,3,25,4,26,24),</v>
      </c>
      <c r="R118" s="10" t="str">
        <f t="shared" si="26"/>
        <v>CreatedUserId=null,</v>
      </c>
      <c r="S118" s="10" t="str">
        <f t="shared" si="27"/>
        <v>Description= "Created by seeding data",</v>
      </c>
      <c r="T118" s="10" t="str">
        <f t="shared" si="28"/>
        <v>IsActive=true,</v>
      </c>
      <c r="U118" s="10" t="str">
        <f t="shared" si="29"/>
        <v>IsDeleted=false,</v>
      </c>
      <c r="V118" s="10" t="str">
        <f t="shared" si="30"/>
        <v>LastModifiedDate=null,</v>
      </c>
      <c r="W118" s="10" t="str">
        <f t="shared" si="31"/>
        <v>LastModifiedUserId=null</v>
      </c>
      <c r="X118" s="9" t="str">
        <f t="shared" ca="1" si="32"/>
        <v>Id=116,Title="فرانسه",ParentId=null,Guid=Guid.Parse("7A6F2E43-4C90-40BE-BFE9-BC99362F0B03"),CreatedDate=new DateTime (2026,3,25,4,26,24),CreatedUserId=null,Description= "Created by seeding data",IsActive=true,IsDeleted=false,LastModifiedDate=null,LastModifiedUserId=null</v>
      </c>
      <c r="Y118" s="9" t="str">
        <f t="shared" ca="1" si="33"/>
        <v>new State{Id=116,Title="فرانسه",ParentId=null,Guid=Guid.Parse("7A6F2E43-4C90-40BE-BFE9-BC99362F0B03"),CreatedDate=new DateTime (2026,3,25,4,26,24),CreatedUserId=null,Description= "Created by seeding data",IsActive=true,IsDeleted=false,LastModifiedDate=null,LastModifiedUserId=null},</v>
      </c>
    </row>
    <row r="119" spans="1:25" x14ac:dyDescent="0.5">
      <c r="A119" s="1" t="str">
        <f t="shared" si="17"/>
        <v>117,</v>
      </c>
      <c r="B119" s="1" t="s">
        <v>128</v>
      </c>
      <c r="C119" s="1" t="str">
        <f t="shared" si="18"/>
        <v>null,</v>
      </c>
      <c r="D119" s="1" t="s">
        <v>324</v>
      </c>
      <c r="E119" s="1" t="str">
        <f t="shared" ca="1" si="19"/>
        <v>new DateTime (2026,3,25,4,26,24),</v>
      </c>
      <c r="F119" s="1" t="str">
        <f t="shared" si="20"/>
        <v>null,</v>
      </c>
      <c r="G119" s="1" t="s">
        <v>207</v>
      </c>
      <c r="H119" s="1" t="str">
        <f t="shared" si="21"/>
        <v>true,</v>
      </c>
      <c r="I119" s="1" t="str">
        <f t="shared" si="22"/>
        <v>false,</v>
      </c>
      <c r="J119" s="1" t="str">
        <f t="shared" si="23"/>
        <v>null,</v>
      </c>
      <c r="K119" s="1" t="str">
        <f t="shared" si="24"/>
        <v>null</v>
      </c>
      <c r="L119" s="6"/>
      <c r="M119" s="10" t="str">
        <f>_xlfn.TEXTJOIN("=",FALSE,A$2,A119)</f>
        <v>Id=117,</v>
      </c>
      <c r="N119" s="10" t="str">
        <f>_xlfn.TEXTJOIN("=",FALSE,B$2,B119)</f>
        <v>Title="فنلاند",</v>
      </c>
      <c r="O119" s="10" t="str">
        <f>_xlfn.TEXTJOIN("=",FALSE,C$2,C119)</f>
        <v>ParentId=null,</v>
      </c>
      <c r="P119" s="10" t="str">
        <f>_xlfn.TEXTJOIN("=",FALSE,D$2,D119)</f>
        <v>Guid=Guid.Parse("F6BD0340-EB87-4992-B183-0C02874EF0CA"),</v>
      </c>
      <c r="Q119" s="10" t="str">
        <f t="shared" ca="1" si="25"/>
        <v>CreatedDate=new DateTime (2026,3,25,4,26,24),</v>
      </c>
      <c r="R119" s="10" t="str">
        <f t="shared" si="26"/>
        <v>CreatedUserId=null,</v>
      </c>
      <c r="S119" s="10" t="str">
        <f t="shared" si="27"/>
        <v>Description= "Created by seeding data",</v>
      </c>
      <c r="T119" s="10" t="str">
        <f t="shared" si="28"/>
        <v>IsActive=true,</v>
      </c>
      <c r="U119" s="10" t="str">
        <f t="shared" si="29"/>
        <v>IsDeleted=false,</v>
      </c>
      <c r="V119" s="10" t="str">
        <f t="shared" si="30"/>
        <v>LastModifiedDate=null,</v>
      </c>
      <c r="W119" s="10" t="str">
        <f t="shared" si="31"/>
        <v>LastModifiedUserId=null</v>
      </c>
      <c r="X119" s="9" t="str">
        <f t="shared" ca="1" si="32"/>
        <v>Id=117,Title="فنلاند",ParentId=null,Guid=Guid.Parse("F6BD0340-EB87-4992-B183-0C02874EF0CA"),CreatedDate=new DateTime (2026,3,25,4,26,24),CreatedUserId=null,Description= "Created by seeding data",IsActive=true,IsDeleted=false,LastModifiedDate=null,LastModifiedUserId=null</v>
      </c>
      <c r="Y119" s="9" t="str">
        <f t="shared" ca="1" si="33"/>
        <v>new State{Id=117,Title="فنلاند",ParentId=null,Guid=Guid.Parse("F6BD0340-EB87-4992-B183-0C02874EF0CA"),CreatedDate=new DateTime (2026,3,25,4,26,24),CreatedUserId=null,Description= "Created by seeding data",IsActive=true,IsDeleted=false,LastModifiedDate=null,LastModifiedUserId=null},</v>
      </c>
    </row>
    <row r="120" spans="1:25" x14ac:dyDescent="0.5">
      <c r="A120" s="1" t="str">
        <f t="shared" si="17"/>
        <v>118,</v>
      </c>
      <c r="B120" s="1" t="s">
        <v>129</v>
      </c>
      <c r="C120" s="1" t="str">
        <f t="shared" si="18"/>
        <v>null,</v>
      </c>
      <c r="D120" s="1" t="s">
        <v>325</v>
      </c>
      <c r="E120" s="1" t="str">
        <f t="shared" ca="1" si="19"/>
        <v>new DateTime (2026,3,25,4,26,24),</v>
      </c>
      <c r="F120" s="1" t="str">
        <f t="shared" si="20"/>
        <v>null,</v>
      </c>
      <c r="G120" s="1" t="s">
        <v>207</v>
      </c>
      <c r="H120" s="1" t="str">
        <f t="shared" si="21"/>
        <v>true,</v>
      </c>
      <c r="I120" s="1" t="str">
        <f t="shared" si="22"/>
        <v>false,</v>
      </c>
      <c r="J120" s="1" t="str">
        <f t="shared" si="23"/>
        <v>null,</v>
      </c>
      <c r="K120" s="1" t="str">
        <f t="shared" si="24"/>
        <v>null</v>
      </c>
      <c r="L120" s="6"/>
      <c r="M120" s="10" t="str">
        <f>_xlfn.TEXTJOIN("=",FALSE,A$2,A120)</f>
        <v>Id=118,</v>
      </c>
      <c r="N120" s="10" t="str">
        <f>_xlfn.TEXTJOIN("=",FALSE,B$2,B120)</f>
        <v>Title="فیجی",</v>
      </c>
      <c r="O120" s="10" t="str">
        <f>_xlfn.TEXTJOIN("=",FALSE,C$2,C120)</f>
        <v>ParentId=null,</v>
      </c>
      <c r="P120" s="10" t="str">
        <f>_xlfn.TEXTJOIN("=",FALSE,D$2,D120)</f>
        <v>Guid=Guid.Parse("DB986C8D-278C-4D5E-8DB4-0605C90EE1C0"),</v>
      </c>
      <c r="Q120" s="10" t="str">
        <f t="shared" ca="1" si="25"/>
        <v>CreatedDate=new DateTime (2026,3,25,4,26,24),</v>
      </c>
      <c r="R120" s="10" t="str">
        <f t="shared" si="26"/>
        <v>CreatedUserId=null,</v>
      </c>
      <c r="S120" s="10" t="str">
        <f t="shared" si="27"/>
        <v>Description= "Created by seeding data",</v>
      </c>
      <c r="T120" s="10" t="str">
        <f t="shared" si="28"/>
        <v>IsActive=true,</v>
      </c>
      <c r="U120" s="10" t="str">
        <f t="shared" si="29"/>
        <v>IsDeleted=false,</v>
      </c>
      <c r="V120" s="10" t="str">
        <f t="shared" si="30"/>
        <v>LastModifiedDate=null,</v>
      </c>
      <c r="W120" s="10" t="str">
        <f t="shared" si="31"/>
        <v>LastModifiedUserId=null</v>
      </c>
      <c r="X120" s="9" t="str">
        <f t="shared" ca="1" si="32"/>
        <v>Id=118,Title="فیجی",ParentId=null,Guid=Guid.Parse("DB986C8D-278C-4D5E-8DB4-0605C90EE1C0"),CreatedDate=new DateTime (2026,3,25,4,26,24),CreatedUserId=null,Description= "Created by seeding data",IsActive=true,IsDeleted=false,LastModifiedDate=null,LastModifiedUserId=null</v>
      </c>
      <c r="Y120" s="9" t="str">
        <f t="shared" ca="1" si="33"/>
        <v>new State{Id=118,Title="فیجی",ParentId=null,Guid=Guid.Parse("DB986C8D-278C-4D5E-8DB4-0605C90EE1C0"),CreatedDate=new DateTime (2026,3,25,4,26,24),CreatedUserId=null,Description= "Created by seeding data",IsActive=true,IsDeleted=false,LastModifiedDate=null,LastModifiedUserId=null},</v>
      </c>
    </row>
    <row r="121" spans="1:25" x14ac:dyDescent="0.5">
      <c r="A121" s="1" t="str">
        <f t="shared" si="17"/>
        <v>119,</v>
      </c>
      <c r="B121" s="1" t="s">
        <v>130</v>
      </c>
      <c r="C121" s="1" t="str">
        <f t="shared" si="18"/>
        <v>null,</v>
      </c>
      <c r="D121" s="1" t="s">
        <v>326</v>
      </c>
      <c r="E121" s="1" t="str">
        <f t="shared" ca="1" si="19"/>
        <v>new DateTime (2026,3,25,4,26,24),</v>
      </c>
      <c r="F121" s="1" t="str">
        <f t="shared" si="20"/>
        <v>null,</v>
      </c>
      <c r="G121" s="1" t="s">
        <v>207</v>
      </c>
      <c r="H121" s="1" t="str">
        <f t="shared" si="21"/>
        <v>true,</v>
      </c>
      <c r="I121" s="1" t="str">
        <f t="shared" si="22"/>
        <v>false,</v>
      </c>
      <c r="J121" s="1" t="str">
        <f t="shared" si="23"/>
        <v>null,</v>
      </c>
      <c r="K121" s="1" t="str">
        <f t="shared" si="24"/>
        <v>null</v>
      </c>
      <c r="L121" s="6"/>
      <c r="M121" s="10" t="str">
        <f>_xlfn.TEXTJOIN("=",FALSE,A$2,A121)</f>
        <v>Id=119,</v>
      </c>
      <c r="N121" s="10" t="str">
        <f>_xlfn.TEXTJOIN("=",FALSE,B$2,B121)</f>
        <v>Title="فیلیپین",</v>
      </c>
      <c r="O121" s="10" t="str">
        <f>_xlfn.TEXTJOIN("=",FALSE,C$2,C121)</f>
        <v>ParentId=null,</v>
      </c>
      <c r="P121" s="10" t="str">
        <f>_xlfn.TEXTJOIN("=",FALSE,D$2,D121)</f>
        <v>Guid=Guid.Parse("A1FBDB80-8B0A-4C5E-89E6-94F6F1EFD7D4"),</v>
      </c>
      <c r="Q121" s="10" t="str">
        <f t="shared" ca="1" si="25"/>
        <v>CreatedDate=new DateTime (2026,3,25,4,26,24),</v>
      </c>
      <c r="R121" s="10" t="str">
        <f t="shared" si="26"/>
        <v>CreatedUserId=null,</v>
      </c>
      <c r="S121" s="10" t="str">
        <f t="shared" si="27"/>
        <v>Description= "Created by seeding data",</v>
      </c>
      <c r="T121" s="10" t="str">
        <f t="shared" si="28"/>
        <v>IsActive=true,</v>
      </c>
      <c r="U121" s="10" t="str">
        <f t="shared" si="29"/>
        <v>IsDeleted=false,</v>
      </c>
      <c r="V121" s="10" t="str">
        <f t="shared" si="30"/>
        <v>LastModifiedDate=null,</v>
      </c>
      <c r="W121" s="10" t="str">
        <f t="shared" si="31"/>
        <v>LastModifiedUserId=null</v>
      </c>
      <c r="X121" s="9" t="str">
        <f t="shared" ca="1" si="32"/>
        <v>Id=119,Title="فیلیپین",ParentId=null,Guid=Guid.Parse("A1FBDB80-8B0A-4C5E-89E6-94F6F1EFD7D4"),CreatedDate=new DateTime (2026,3,25,4,26,24),CreatedUserId=null,Description= "Created by seeding data",IsActive=true,IsDeleted=false,LastModifiedDate=null,LastModifiedUserId=null</v>
      </c>
      <c r="Y121" s="9" t="str">
        <f t="shared" ca="1" si="33"/>
        <v>new State{Id=119,Title="فیلیپین",ParentId=null,Guid=Guid.Parse("A1FBDB80-8B0A-4C5E-89E6-94F6F1EFD7D4"),CreatedDate=new DateTime (2026,3,25,4,26,24),CreatedUserId=null,Description= "Created by seeding data",IsActive=true,IsDeleted=false,LastModifiedDate=null,LastModifiedUserId=null},</v>
      </c>
    </row>
    <row r="122" spans="1:25" x14ac:dyDescent="0.5">
      <c r="A122" s="1" t="str">
        <f t="shared" si="17"/>
        <v>120,</v>
      </c>
      <c r="B122" s="1" t="s">
        <v>131</v>
      </c>
      <c r="C122" s="1" t="str">
        <f t="shared" si="18"/>
        <v>null,</v>
      </c>
      <c r="D122" s="1" t="s">
        <v>327</v>
      </c>
      <c r="E122" s="1" t="str">
        <f t="shared" ca="1" si="19"/>
        <v>new DateTime (2026,3,25,4,26,24),</v>
      </c>
      <c r="F122" s="1" t="str">
        <f t="shared" si="20"/>
        <v>null,</v>
      </c>
      <c r="G122" s="1" t="s">
        <v>207</v>
      </c>
      <c r="H122" s="1" t="str">
        <f t="shared" si="21"/>
        <v>true,</v>
      </c>
      <c r="I122" s="1" t="str">
        <f t="shared" si="22"/>
        <v>false,</v>
      </c>
      <c r="J122" s="1" t="str">
        <f t="shared" si="23"/>
        <v>null,</v>
      </c>
      <c r="K122" s="1" t="str">
        <f t="shared" si="24"/>
        <v>null</v>
      </c>
      <c r="L122" s="6"/>
      <c r="M122" s="10" t="str">
        <f>_xlfn.TEXTJOIN("=",FALSE,A$2,A122)</f>
        <v>Id=120,</v>
      </c>
      <c r="N122" s="10" t="str">
        <f>_xlfn.TEXTJOIN("=",FALSE,B$2,B122)</f>
        <v>Title="قبرس",</v>
      </c>
      <c r="O122" s="10" t="str">
        <f>_xlfn.TEXTJOIN("=",FALSE,C$2,C122)</f>
        <v>ParentId=null,</v>
      </c>
      <c r="P122" s="10" t="str">
        <f>_xlfn.TEXTJOIN("=",FALSE,D$2,D122)</f>
        <v>Guid=Guid.Parse("BFA9650B-F5B4-4A00-BD71-FDCD529A36F5"),</v>
      </c>
      <c r="Q122" s="10" t="str">
        <f t="shared" ca="1" si="25"/>
        <v>CreatedDate=new DateTime (2026,3,25,4,26,24),</v>
      </c>
      <c r="R122" s="10" t="str">
        <f t="shared" si="26"/>
        <v>CreatedUserId=null,</v>
      </c>
      <c r="S122" s="10" t="str">
        <f t="shared" si="27"/>
        <v>Description= "Created by seeding data",</v>
      </c>
      <c r="T122" s="10" t="str">
        <f t="shared" si="28"/>
        <v>IsActive=true,</v>
      </c>
      <c r="U122" s="10" t="str">
        <f t="shared" si="29"/>
        <v>IsDeleted=false,</v>
      </c>
      <c r="V122" s="10" t="str">
        <f t="shared" si="30"/>
        <v>LastModifiedDate=null,</v>
      </c>
      <c r="W122" s="10" t="str">
        <f t="shared" si="31"/>
        <v>LastModifiedUserId=null</v>
      </c>
      <c r="X122" s="9" t="str">
        <f t="shared" ca="1" si="32"/>
        <v>Id=120,Title="قبرس",ParentId=null,Guid=Guid.Parse("BFA9650B-F5B4-4A00-BD71-FDCD529A36F5"),CreatedDate=new DateTime (2026,3,25,4,26,24),CreatedUserId=null,Description= "Created by seeding data",IsActive=true,IsDeleted=false,LastModifiedDate=null,LastModifiedUserId=null</v>
      </c>
      <c r="Y122" s="9" t="str">
        <f t="shared" ca="1" si="33"/>
        <v>new State{Id=120,Title="قبرس",ParentId=null,Guid=Guid.Parse("BFA9650B-F5B4-4A00-BD71-FDCD529A36F5"),CreatedDate=new DateTime (2026,3,25,4,26,24),CreatedUserId=null,Description= "Created by seeding data",IsActive=true,IsDeleted=false,LastModifiedDate=null,LastModifiedUserId=null},</v>
      </c>
    </row>
    <row r="123" spans="1:25" x14ac:dyDescent="0.5">
      <c r="A123" s="1" t="str">
        <f t="shared" si="17"/>
        <v>121,</v>
      </c>
      <c r="B123" s="1" t="s">
        <v>132</v>
      </c>
      <c r="C123" s="1" t="str">
        <f t="shared" si="18"/>
        <v>null,</v>
      </c>
      <c r="D123" s="1" t="s">
        <v>328</v>
      </c>
      <c r="E123" s="1" t="str">
        <f t="shared" ca="1" si="19"/>
        <v>new DateTime (2026,3,25,4,26,24),</v>
      </c>
      <c r="F123" s="1" t="str">
        <f t="shared" si="20"/>
        <v>null,</v>
      </c>
      <c r="G123" s="1" t="s">
        <v>207</v>
      </c>
      <c r="H123" s="1" t="str">
        <f t="shared" si="21"/>
        <v>true,</v>
      </c>
      <c r="I123" s="1" t="str">
        <f t="shared" si="22"/>
        <v>false,</v>
      </c>
      <c r="J123" s="1" t="str">
        <f t="shared" si="23"/>
        <v>null,</v>
      </c>
      <c r="K123" s="1" t="str">
        <f t="shared" si="24"/>
        <v>null</v>
      </c>
      <c r="L123" s="6"/>
      <c r="M123" s="10" t="str">
        <f>_xlfn.TEXTJOIN("=",FALSE,A$2,A123)</f>
        <v>Id=121,</v>
      </c>
      <c r="N123" s="10" t="str">
        <f>_xlfn.TEXTJOIN("=",FALSE,B$2,B123)</f>
        <v>Title="قرقیزستان",</v>
      </c>
      <c r="O123" s="10" t="str">
        <f>_xlfn.TEXTJOIN("=",FALSE,C$2,C123)</f>
        <v>ParentId=null,</v>
      </c>
      <c r="P123" s="10" t="str">
        <f>_xlfn.TEXTJOIN("=",FALSE,D$2,D123)</f>
        <v>Guid=Guid.Parse("6ECCAB95-88D7-49F2-BCE7-B3302486F41F"),</v>
      </c>
      <c r="Q123" s="10" t="str">
        <f t="shared" ca="1" si="25"/>
        <v>CreatedDate=new DateTime (2026,3,25,4,26,24),</v>
      </c>
      <c r="R123" s="10" t="str">
        <f t="shared" si="26"/>
        <v>CreatedUserId=null,</v>
      </c>
      <c r="S123" s="10" t="str">
        <f t="shared" si="27"/>
        <v>Description= "Created by seeding data",</v>
      </c>
      <c r="T123" s="10" t="str">
        <f t="shared" si="28"/>
        <v>IsActive=true,</v>
      </c>
      <c r="U123" s="10" t="str">
        <f t="shared" si="29"/>
        <v>IsDeleted=false,</v>
      </c>
      <c r="V123" s="10" t="str">
        <f t="shared" si="30"/>
        <v>LastModifiedDate=null,</v>
      </c>
      <c r="W123" s="10" t="str">
        <f t="shared" si="31"/>
        <v>LastModifiedUserId=null</v>
      </c>
      <c r="X123" s="9" t="str">
        <f t="shared" ca="1" si="32"/>
        <v>Id=121,Title="قرقیزستان",ParentId=null,Guid=Guid.Parse("6ECCAB95-88D7-49F2-BCE7-B3302486F41F"),CreatedDate=new DateTime (2026,3,25,4,26,24),CreatedUserId=null,Description= "Created by seeding data",IsActive=true,IsDeleted=false,LastModifiedDate=null,LastModifiedUserId=null</v>
      </c>
      <c r="Y123" s="9" t="str">
        <f t="shared" ca="1" si="33"/>
        <v>new State{Id=121,Title="قرقیزستان",ParentId=null,Guid=Guid.Parse("6ECCAB95-88D7-49F2-BCE7-B3302486F41F"),CreatedDate=new DateTime (2026,3,25,4,26,24),CreatedUserId=null,Description= "Created by seeding data",IsActive=true,IsDeleted=false,LastModifiedDate=null,LastModifiedUserId=null},</v>
      </c>
    </row>
    <row r="124" spans="1:25" x14ac:dyDescent="0.5">
      <c r="A124" s="1" t="str">
        <f t="shared" si="17"/>
        <v>122,</v>
      </c>
      <c r="B124" s="1" t="s">
        <v>133</v>
      </c>
      <c r="C124" s="1" t="str">
        <f t="shared" si="18"/>
        <v>null,</v>
      </c>
      <c r="D124" s="1" t="s">
        <v>329</v>
      </c>
      <c r="E124" s="1" t="str">
        <f t="shared" ca="1" si="19"/>
        <v>new DateTime (2026,3,25,4,26,24),</v>
      </c>
      <c r="F124" s="1" t="str">
        <f t="shared" si="20"/>
        <v>null,</v>
      </c>
      <c r="G124" s="1" t="s">
        <v>207</v>
      </c>
      <c r="H124" s="1" t="str">
        <f t="shared" si="21"/>
        <v>true,</v>
      </c>
      <c r="I124" s="1" t="str">
        <f t="shared" si="22"/>
        <v>false,</v>
      </c>
      <c r="J124" s="1" t="str">
        <f t="shared" si="23"/>
        <v>null,</v>
      </c>
      <c r="K124" s="1" t="str">
        <f t="shared" si="24"/>
        <v>null</v>
      </c>
      <c r="L124" s="6"/>
      <c r="M124" s="10" t="str">
        <f>_xlfn.TEXTJOIN("=",FALSE,A$2,A124)</f>
        <v>Id=122,</v>
      </c>
      <c r="N124" s="10" t="str">
        <f>_xlfn.TEXTJOIN("=",FALSE,B$2,B124)</f>
        <v>Title="قزاقستان",</v>
      </c>
      <c r="O124" s="10" t="str">
        <f>_xlfn.TEXTJOIN("=",FALSE,C$2,C124)</f>
        <v>ParentId=null,</v>
      </c>
      <c r="P124" s="10" t="str">
        <f>_xlfn.TEXTJOIN("=",FALSE,D$2,D124)</f>
        <v>Guid=Guid.Parse("DF6954CE-4799-4EEE-995E-7309B0033E12"),</v>
      </c>
      <c r="Q124" s="10" t="str">
        <f t="shared" ca="1" si="25"/>
        <v>CreatedDate=new DateTime (2026,3,25,4,26,24),</v>
      </c>
      <c r="R124" s="10" t="str">
        <f t="shared" si="26"/>
        <v>CreatedUserId=null,</v>
      </c>
      <c r="S124" s="10" t="str">
        <f t="shared" si="27"/>
        <v>Description= "Created by seeding data",</v>
      </c>
      <c r="T124" s="10" t="str">
        <f t="shared" si="28"/>
        <v>IsActive=true,</v>
      </c>
      <c r="U124" s="10" t="str">
        <f t="shared" si="29"/>
        <v>IsDeleted=false,</v>
      </c>
      <c r="V124" s="10" t="str">
        <f t="shared" si="30"/>
        <v>LastModifiedDate=null,</v>
      </c>
      <c r="W124" s="10" t="str">
        <f t="shared" si="31"/>
        <v>LastModifiedUserId=null</v>
      </c>
      <c r="X124" s="9" t="str">
        <f t="shared" ca="1" si="32"/>
        <v>Id=122,Title="قزاقستان",ParentId=null,Guid=Guid.Parse("DF6954CE-4799-4EEE-995E-7309B0033E12"),CreatedDate=new DateTime (2026,3,25,4,26,24),CreatedUserId=null,Description= "Created by seeding data",IsActive=true,IsDeleted=false,LastModifiedDate=null,LastModifiedUserId=null</v>
      </c>
      <c r="Y124" s="9" t="str">
        <f t="shared" ca="1" si="33"/>
        <v>new State{Id=122,Title="قزاقستان",ParentId=null,Guid=Guid.Parse("DF6954CE-4799-4EEE-995E-7309B0033E12"),CreatedDate=new DateTime (2026,3,25,4,26,24),CreatedUserId=null,Description= "Created by seeding data",IsActive=true,IsDeleted=false,LastModifiedDate=null,LastModifiedUserId=null},</v>
      </c>
    </row>
    <row r="125" spans="1:25" x14ac:dyDescent="0.5">
      <c r="A125" s="1" t="str">
        <f t="shared" si="17"/>
        <v>123,</v>
      </c>
      <c r="B125" s="1" t="s">
        <v>134</v>
      </c>
      <c r="C125" s="1" t="str">
        <f t="shared" si="18"/>
        <v>null,</v>
      </c>
      <c r="D125" s="1" t="s">
        <v>330</v>
      </c>
      <c r="E125" s="1" t="str">
        <f t="shared" ca="1" si="19"/>
        <v>new DateTime (2026,3,25,4,26,24),</v>
      </c>
      <c r="F125" s="1" t="str">
        <f t="shared" si="20"/>
        <v>null,</v>
      </c>
      <c r="G125" s="1" t="s">
        <v>207</v>
      </c>
      <c r="H125" s="1" t="str">
        <f t="shared" si="21"/>
        <v>true,</v>
      </c>
      <c r="I125" s="1" t="str">
        <f t="shared" si="22"/>
        <v>false,</v>
      </c>
      <c r="J125" s="1" t="str">
        <f t="shared" si="23"/>
        <v>null,</v>
      </c>
      <c r="K125" s="1" t="str">
        <f t="shared" si="24"/>
        <v>null</v>
      </c>
      <c r="L125" s="6"/>
      <c r="M125" s="10" t="str">
        <f>_xlfn.TEXTJOIN("=",FALSE,A$2,A125)</f>
        <v>Id=123,</v>
      </c>
      <c r="N125" s="10" t="str">
        <f>_xlfn.TEXTJOIN("=",FALSE,B$2,B125)</f>
        <v>Title="قطر",</v>
      </c>
      <c r="O125" s="10" t="str">
        <f>_xlfn.TEXTJOIN("=",FALSE,C$2,C125)</f>
        <v>ParentId=null,</v>
      </c>
      <c r="P125" s="10" t="str">
        <f>_xlfn.TEXTJOIN("=",FALSE,D$2,D125)</f>
        <v>Guid=Guid.Parse("EA299B56-18BE-4C7B-A17C-8F6A943EF588"),</v>
      </c>
      <c r="Q125" s="10" t="str">
        <f t="shared" ca="1" si="25"/>
        <v>CreatedDate=new DateTime (2026,3,25,4,26,24),</v>
      </c>
      <c r="R125" s="10" t="str">
        <f t="shared" si="26"/>
        <v>CreatedUserId=null,</v>
      </c>
      <c r="S125" s="10" t="str">
        <f t="shared" si="27"/>
        <v>Description= "Created by seeding data",</v>
      </c>
      <c r="T125" s="10" t="str">
        <f t="shared" si="28"/>
        <v>IsActive=true,</v>
      </c>
      <c r="U125" s="10" t="str">
        <f t="shared" si="29"/>
        <v>IsDeleted=false,</v>
      </c>
      <c r="V125" s="10" t="str">
        <f t="shared" si="30"/>
        <v>LastModifiedDate=null,</v>
      </c>
      <c r="W125" s="10" t="str">
        <f t="shared" si="31"/>
        <v>LastModifiedUserId=null</v>
      </c>
      <c r="X125" s="9" t="str">
        <f t="shared" ca="1" si="32"/>
        <v>Id=123,Title="قطر",ParentId=null,Guid=Guid.Parse("EA299B56-18BE-4C7B-A17C-8F6A943EF588"),CreatedDate=new DateTime (2026,3,25,4,26,24),CreatedUserId=null,Description= "Created by seeding data",IsActive=true,IsDeleted=false,LastModifiedDate=null,LastModifiedUserId=null</v>
      </c>
      <c r="Y125" s="9" t="str">
        <f t="shared" ca="1" si="33"/>
        <v>new State{Id=123,Title="قطر",ParentId=null,Guid=Guid.Parse("EA299B56-18BE-4C7B-A17C-8F6A943EF588"),CreatedDate=new DateTime (2026,3,25,4,26,24),CreatedUserId=null,Description= "Created by seeding data",IsActive=true,IsDeleted=false,LastModifiedDate=null,LastModifiedUserId=null},</v>
      </c>
    </row>
    <row r="126" spans="1:25" x14ac:dyDescent="0.5">
      <c r="A126" s="1" t="str">
        <f t="shared" si="17"/>
        <v>124,</v>
      </c>
      <c r="B126" s="1" t="s">
        <v>135</v>
      </c>
      <c r="C126" s="1" t="str">
        <f t="shared" si="18"/>
        <v>null,</v>
      </c>
      <c r="D126" s="1" t="s">
        <v>331</v>
      </c>
      <c r="E126" s="1" t="str">
        <f t="shared" ca="1" si="19"/>
        <v>new DateTime (2026,3,25,4,26,24),</v>
      </c>
      <c r="F126" s="1" t="str">
        <f t="shared" si="20"/>
        <v>null,</v>
      </c>
      <c r="G126" s="1" t="s">
        <v>207</v>
      </c>
      <c r="H126" s="1" t="str">
        <f t="shared" si="21"/>
        <v>true,</v>
      </c>
      <c r="I126" s="1" t="str">
        <f t="shared" si="22"/>
        <v>false,</v>
      </c>
      <c r="J126" s="1" t="str">
        <f t="shared" si="23"/>
        <v>null,</v>
      </c>
      <c r="K126" s="1" t="str">
        <f t="shared" si="24"/>
        <v>null</v>
      </c>
      <c r="L126" s="6"/>
      <c r="M126" s="10" t="str">
        <f>_xlfn.TEXTJOIN("=",FALSE,A$2,A126)</f>
        <v>Id=124,</v>
      </c>
      <c r="N126" s="10" t="str">
        <f>_xlfn.TEXTJOIN("=",FALSE,B$2,B126)</f>
        <v>Title="کاستاریکا",</v>
      </c>
      <c r="O126" s="10" t="str">
        <f>_xlfn.TEXTJOIN("=",FALSE,C$2,C126)</f>
        <v>ParentId=null,</v>
      </c>
      <c r="P126" s="10" t="str">
        <f>_xlfn.TEXTJOIN("=",FALSE,D$2,D126)</f>
        <v>Guid=Guid.Parse("842512B3-FFC8-4B90-8AA1-2894E439CF32"),</v>
      </c>
      <c r="Q126" s="10" t="str">
        <f t="shared" ca="1" si="25"/>
        <v>CreatedDate=new DateTime (2026,3,25,4,26,24),</v>
      </c>
      <c r="R126" s="10" t="str">
        <f t="shared" si="26"/>
        <v>CreatedUserId=null,</v>
      </c>
      <c r="S126" s="10" t="str">
        <f t="shared" si="27"/>
        <v>Description= "Created by seeding data",</v>
      </c>
      <c r="T126" s="10" t="str">
        <f t="shared" si="28"/>
        <v>IsActive=true,</v>
      </c>
      <c r="U126" s="10" t="str">
        <f t="shared" si="29"/>
        <v>IsDeleted=false,</v>
      </c>
      <c r="V126" s="10" t="str">
        <f t="shared" si="30"/>
        <v>LastModifiedDate=null,</v>
      </c>
      <c r="W126" s="10" t="str">
        <f t="shared" si="31"/>
        <v>LastModifiedUserId=null</v>
      </c>
      <c r="X126" s="9" t="str">
        <f t="shared" ca="1" si="32"/>
        <v>Id=124,Title="کاستاریکا",ParentId=null,Guid=Guid.Parse("842512B3-FFC8-4B90-8AA1-2894E439CF32"),CreatedDate=new DateTime (2026,3,25,4,26,24),CreatedUserId=null,Description= "Created by seeding data",IsActive=true,IsDeleted=false,LastModifiedDate=null,LastModifiedUserId=null</v>
      </c>
      <c r="Y126" s="9" t="str">
        <f t="shared" ca="1" si="33"/>
        <v>new State{Id=124,Title="کاستاریکا",ParentId=null,Guid=Guid.Parse("842512B3-FFC8-4B90-8AA1-2894E439CF32"),CreatedDate=new DateTime (2026,3,25,4,26,24),CreatedUserId=null,Description= "Created by seeding data",IsActive=true,IsDeleted=false,LastModifiedDate=null,LastModifiedUserId=null},</v>
      </c>
    </row>
    <row r="127" spans="1:25" x14ac:dyDescent="0.5">
      <c r="A127" s="1" t="str">
        <f t="shared" si="17"/>
        <v>125,</v>
      </c>
      <c r="B127" s="1" t="s">
        <v>136</v>
      </c>
      <c r="C127" s="1" t="str">
        <f t="shared" si="18"/>
        <v>null,</v>
      </c>
      <c r="D127" s="1" t="s">
        <v>332</v>
      </c>
      <c r="E127" s="1" t="str">
        <f t="shared" ca="1" si="19"/>
        <v>new DateTime (2026,3,25,4,26,24),</v>
      </c>
      <c r="F127" s="1" t="str">
        <f t="shared" si="20"/>
        <v>null,</v>
      </c>
      <c r="G127" s="1" t="s">
        <v>207</v>
      </c>
      <c r="H127" s="1" t="str">
        <f t="shared" si="21"/>
        <v>true,</v>
      </c>
      <c r="I127" s="1" t="str">
        <f t="shared" si="22"/>
        <v>false,</v>
      </c>
      <c r="J127" s="1" t="str">
        <f t="shared" si="23"/>
        <v>null,</v>
      </c>
      <c r="K127" s="1" t="str">
        <f t="shared" si="24"/>
        <v>null</v>
      </c>
      <c r="L127" s="6"/>
      <c r="M127" s="10" t="str">
        <f>_xlfn.TEXTJOIN("=",FALSE,A$2,A127)</f>
        <v>Id=125,</v>
      </c>
      <c r="N127" s="10" t="str">
        <f>_xlfn.TEXTJOIN("=",FALSE,B$2,B127)</f>
        <v>Title="کامبوج",</v>
      </c>
      <c r="O127" s="10" t="str">
        <f>_xlfn.TEXTJOIN("=",FALSE,C$2,C127)</f>
        <v>ParentId=null,</v>
      </c>
      <c r="P127" s="10" t="str">
        <f>_xlfn.TEXTJOIN("=",FALSE,D$2,D127)</f>
        <v>Guid=Guid.Parse("57F09AE8-6DCB-4128-8EF7-04E42AA20074"),</v>
      </c>
      <c r="Q127" s="10" t="str">
        <f t="shared" ca="1" si="25"/>
        <v>CreatedDate=new DateTime (2026,3,25,4,26,24),</v>
      </c>
      <c r="R127" s="10" t="str">
        <f t="shared" si="26"/>
        <v>CreatedUserId=null,</v>
      </c>
      <c r="S127" s="10" t="str">
        <f t="shared" si="27"/>
        <v>Description= "Created by seeding data",</v>
      </c>
      <c r="T127" s="10" t="str">
        <f t="shared" si="28"/>
        <v>IsActive=true,</v>
      </c>
      <c r="U127" s="10" t="str">
        <f t="shared" si="29"/>
        <v>IsDeleted=false,</v>
      </c>
      <c r="V127" s="10" t="str">
        <f t="shared" si="30"/>
        <v>LastModifiedDate=null,</v>
      </c>
      <c r="W127" s="10" t="str">
        <f t="shared" si="31"/>
        <v>LastModifiedUserId=null</v>
      </c>
      <c r="X127" s="9" t="str">
        <f t="shared" ca="1" si="32"/>
        <v>Id=125,Title="کامبوج",ParentId=null,Guid=Guid.Parse("57F09AE8-6DCB-4128-8EF7-04E42AA20074"),CreatedDate=new DateTime (2026,3,25,4,26,24),CreatedUserId=null,Description= "Created by seeding data",IsActive=true,IsDeleted=false,LastModifiedDate=null,LastModifiedUserId=null</v>
      </c>
      <c r="Y127" s="9" t="str">
        <f t="shared" ca="1" si="33"/>
        <v>new State{Id=125,Title="کامبوج",ParentId=null,Guid=Guid.Parse("57F09AE8-6DCB-4128-8EF7-04E42AA20074"),CreatedDate=new DateTime (2026,3,25,4,26,24),CreatedUserId=null,Description= "Created by seeding data",IsActive=true,IsDeleted=false,LastModifiedDate=null,LastModifiedUserId=null},</v>
      </c>
    </row>
    <row r="128" spans="1:25" x14ac:dyDescent="0.5">
      <c r="A128" s="1" t="str">
        <f t="shared" si="17"/>
        <v>126,</v>
      </c>
      <c r="B128" s="1" t="s">
        <v>137</v>
      </c>
      <c r="C128" s="1" t="str">
        <f t="shared" si="18"/>
        <v>null,</v>
      </c>
      <c r="D128" s="1" t="s">
        <v>333</v>
      </c>
      <c r="E128" s="1" t="str">
        <f t="shared" ca="1" si="19"/>
        <v>new DateTime (2026,3,25,4,26,24),</v>
      </c>
      <c r="F128" s="1" t="str">
        <f t="shared" si="20"/>
        <v>null,</v>
      </c>
      <c r="G128" s="1" t="s">
        <v>207</v>
      </c>
      <c r="H128" s="1" t="str">
        <f t="shared" si="21"/>
        <v>true,</v>
      </c>
      <c r="I128" s="1" t="str">
        <f t="shared" si="22"/>
        <v>false,</v>
      </c>
      <c r="J128" s="1" t="str">
        <f t="shared" si="23"/>
        <v>null,</v>
      </c>
      <c r="K128" s="1" t="str">
        <f t="shared" si="24"/>
        <v>null</v>
      </c>
      <c r="L128" s="6"/>
      <c r="M128" s="10" t="str">
        <f>_xlfn.TEXTJOIN("=",FALSE,A$2,A128)</f>
        <v>Id=126,</v>
      </c>
      <c r="N128" s="10" t="str">
        <f>_xlfn.TEXTJOIN("=",FALSE,B$2,B128)</f>
        <v>Title="کامرون",</v>
      </c>
      <c r="O128" s="10" t="str">
        <f>_xlfn.TEXTJOIN("=",FALSE,C$2,C128)</f>
        <v>ParentId=null,</v>
      </c>
      <c r="P128" s="10" t="str">
        <f>_xlfn.TEXTJOIN("=",FALSE,D$2,D128)</f>
        <v>Guid=Guid.Parse("D49BEFA8-69F1-4951-8D32-DD733F6728C9"),</v>
      </c>
      <c r="Q128" s="10" t="str">
        <f t="shared" ca="1" si="25"/>
        <v>CreatedDate=new DateTime (2026,3,25,4,26,24),</v>
      </c>
      <c r="R128" s="10" t="str">
        <f t="shared" si="26"/>
        <v>CreatedUserId=null,</v>
      </c>
      <c r="S128" s="10" t="str">
        <f t="shared" si="27"/>
        <v>Description= "Created by seeding data",</v>
      </c>
      <c r="T128" s="10" t="str">
        <f t="shared" si="28"/>
        <v>IsActive=true,</v>
      </c>
      <c r="U128" s="10" t="str">
        <f t="shared" si="29"/>
        <v>IsDeleted=false,</v>
      </c>
      <c r="V128" s="10" t="str">
        <f t="shared" si="30"/>
        <v>LastModifiedDate=null,</v>
      </c>
      <c r="W128" s="10" t="str">
        <f t="shared" si="31"/>
        <v>LastModifiedUserId=null</v>
      </c>
      <c r="X128" s="9" t="str">
        <f t="shared" ca="1" si="32"/>
        <v>Id=126,Title="کامرون",ParentId=null,Guid=Guid.Parse("D49BEFA8-69F1-4951-8D32-DD733F6728C9"),CreatedDate=new DateTime (2026,3,25,4,26,24),CreatedUserId=null,Description= "Created by seeding data",IsActive=true,IsDeleted=false,LastModifiedDate=null,LastModifiedUserId=null</v>
      </c>
      <c r="Y128" s="9" t="str">
        <f t="shared" ca="1" si="33"/>
        <v>new State{Id=126,Title="کامرون",ParentId=null,Guid=Guid.Parse("D49BEFA8-69F1-4951-8D32-DD733F6728C9"),CreatedDate=new DateTime (2026,3,25,4,26,24),CreatedUserId=null,Description= "Created by seeding data",IsActive=true,IsDeleted=false,LastModifiedDate=null,LastModifiedUserId=null},</v>
      </c>
    </row>
    <row r="129" spans="1:25" x14ac:dyDescent="0.5">
      <c r="A129" s="1" t="str">
        <f t="shared" si="17"/>
        <v>127,</v>
      </c>
      <c r="B129" s="1" t="s">
        <v>138</v>
      </c>
      <c r="C129" s="1" t="str">
        <f t="shared" si="18"/>
        <v>null,</v>
      </c>
      <c r="D129" s="1" t="s">
        <v>334</v>
      </c>
      <c r="E129" s="1" t="str">
        <f t="shared" ca="1" si="19"/>
        <v>new DateTime (2026,3,25,4,26,24),</v>
      </c>
      <c r="F129" s="1" t="str">
        <f t="shared" si="20"/>
        <v>null,</v>
      </c>
      <c r="G129" s="1" t="s">
        <v>207</v>
      </c>
      <c r="H129" s="1" t="str">
        <f t="shared" si="21"/>
        <v>true,</v>
      </c>
      <c r="I129" s="1" t="str">
        <f t="shared" si="22"/>
        <v>false,</v>
      </c>
      <c r="J129" s="1" t="str">
        <f t="shared" si="23"/>
        <v>null,</v>
      </c>
      <c r="K129" s="1" t="str">
        <f t="shared" si="24"/>
        <v>null</v>
      </c>
      <c r="L129" s="6"/>
      <c r="M129" s="10" t="str">
        <f>_xlfn.TEXTJOIN("=",FALSE,A$2,A129)</f>
        <v>Id=127,</v>
      </c>
      <c r="N129" s="10" t="str">
        <f>_xlfn.TEXTJOIN("=",FALSE,B$2,B129)</f>
        <v>Title="کانادا",</v>
      </c>
      <c r="O129" s="10" t="str">
        <f>_xlfn.TEXTJOIN("=",FALSE,C$2,C129)</f>
        <v>ParentId=null,</v>
      </c>
      <c r="P129" s="10" t="str">
        <f>_xlfn.TEXTJOIN("=",FALSE,D$2,D129)</f>
        <v>Guid=Guid.Parse("AAF60D27-1902-4880-876A-43C66B9E5439"),</v>
      </c>
      <c r="Q129" s="10" t="str">
        <f t="shared" ca="1" si="25"/>
        <v>CreatedDate=new DateTime (2026,3,25,4,26,24),</v>
      </c>
      <c r="R129" s="10" t="str">
        <f t="shared" si="26"/>
        <v>CreatedUserId=null,</v>
      </c>
      <c r="S129" s="10" t="str">
        <f t="shared" si="27"/>
        <v>Description= "Created by seeding data",</v>
      </c>
      <c r="T129" s="10" t="str">
        <f t="shared" si="28"/>
        <v>IsActive=true,</v>
      </c>
      <c r="U129" s="10" t="str">
        <f t="shared" si="29"/>
        <v>IsDeleted=false,</v>
      </c>
      <c r="V129" s="10" t="str">
        <f t="shared" si="30"/>
        <v>LastModifiedDate=null,</v>
      </c>
      <c r="W129" s="10" t="str">
        <f t="shared" si="31"/>
        <v>LastModifiedUserId=null</v>
      </c>
      <c r="X129" s="9" t="str">
        <f t="shared" ca="1" si="32"/>
        <v>Id=127,Title="کانادا",ParentId=null,Guid=Guid.Parse("AAF60D27-1902-4880-876A-43C66B9E5439"),CreatedDate=new DateTime (2026,3,25,4,26,24),CreatedUserId=null,Description= "Created by seeding data",IsActive=true,IsDeleted=false,LastModifiedDate=null,LastModifiedUserId=null</v>
      </c>
      <c r="Y129" s="9" t="str">
        <f t="shared" ca="1" si="33"/>
        <v>new State{Id=127,Title="کانادا",ParentId=null,Guid=Guid.Parse("AAF60D27-1902-4880-876A-43C66B9E5439"),CreatedDate=new DateTime (2026,3,25,4,26,24),CreatedUserId=null,Description= "Created by seeding data",IsActive=true,IsDeleted=false,LastModifiedDate=null,LastModifiedUserId=null},</v>
      </c>
    </row>
    <row r="130" spans="1:25" x14ac:dyDescent="0.5">
      <c r="A130" s="1" t="str">
        <f t="shared" si="17"/>
        <v>128,</v>
      </c>
      <c r="B130" s="1" t="s">
        <v>139</v>
      </c>
      <c r="C130" s="1" t="str">
        <f t="shared" si="18"/>
        <v>null,</v>
      </c>
      <c r="D130" s="1" t="s">
        <v>335</v>
      </c>
      <c r="E130" s="1" t="str">
        <f t="shared" ca="1" si="19"/>
        <v>new DateTime (2026,3,25,4,26,24),</v>
      </c>
      <c r="F130" s="1" t="str">
        <f t="shared" si="20"/>
        <v>null,</v>
      </c>
      <c r="G130" s="1" t="s">
        <v>207</v>
      </c>
      <c r="H130" s="1" t="str">
        <f t="shared" si="21"/>
        <v>true,</v>
      </c>
      <c r="I130" s="1" t="str">
        <f t="shared" si="22"/>
        <v>false,</v>
      </c>
      <c r="J130" s="1" t="str">
        <f t="shared" si="23"/>
        <v>null,</v>
      </c>
      <c r="K130" s="1" t="str">
        <f t="shared" si="24"/>
        <v>null</v>
      </c>
      <c r="L130" s="6"/>
      <c r="M130" s="10" t="str">
        <f>_xlfn.TEXTJOIN("=",FALSE,A$2,A130)</f>
        <v>Id=128,</v>
      </c>
      <c r="N130" s="10" t="str">
        <f>_xlfn.TEXTJOIN("=",FALSE,B$2,B130)</f>
        <v>Title="کره جنوبی",</v>
      </c>
      <c r="O130" s="10" t="str">
        <f>_xlfn.TEXTJOIN("=",FALSE,C$2,C130)</f>
        <v>ParentId=null,</v>
      </c>
      <c r="P130" s="10" t="str">
        <f>_xlfn.TEXTJOIN("=",FALSE,D$2,D130)</f>
        <v>Guid=Guid.Parse("533C1FBA-A407-4A63-A490-91219504671E"),</v>
      </c>
      <c r="Q130" s="10" t="str">
        <f t="shared" ca="1" si="25"/>
        <v>CreatedDate=new DateTime (2026,3,25,4,26,24),</v>
      </c>
      <c r="R130" s="10" t="str">
        <f t="shared" si="26"/>
        <v>CreatedUserId=null,</v>
      </c>
      <c r="S130" s="10" t="str">
        <f t="shared" si="27"/>
        <v>Description= "Created by seeding data",</v>
      </c>
      <c r="T130" s="10" t="str">
        <f t="shared" si="28"/>
        <v>IsActive=true,</v>
      </c>
      <c r="U130" s="10" t="str">
        <f t="shared" si="29"/>
        <v>IsDeleted=false,</v>
      </c>
      <c r="V130" s="10" t="str">
        <f t="shared" si="30"/>
        <v>LastModifiedDate=null,</v>
      </c>
      <c r="W130" s="10" t="str">
        <f t="shared" si="31"/>
        <v>LastModifiedUserId=null</v>
      </c>
      <c r="X130" s="9" t="str">
        <f t="shared" ca="1" si="32"/>
        <v>Id=128,Title="کره جنوبی",ParentId=null,Guid=Guid.Parse("533C1FBA-A407-4A63-A490-91219504671E"),CreatedDate=new DateTime (2026,3,25,4,26,24),CreatedUserId=null,Description= "Created by seeding data",IsActive=true,IsDeleted=false,LastModifiedDate=null,LastModifiedUserId=null</v>
      </c>
      <c r="Y130" s="9" t="str">
        <f t="shared" ca="1" si="33"/>
        <v>new State{Id=128,Title="کره جنوبی",ParentId=null,Guid=Guid.Parse("533C1FBA-A407-4A63-A490-91219504671E"),CreatedDate=new DateTime (2026,3,25,4,26,24),CreatedUserId=null,Description= "Created by seeding data",IsActive=true,IsDeleted=false,LastModifiedDate=null,LastModifiedUserId=null},</v>
      </c>
    </row>
    <row r="131" spans="1:25" x14ac:dyDescent="0.5">
      <c r="A131" s="1" t="str">
        <f t="shared" si="17"/>
        <v>129,</v>
      </c>
      <c r="B131" s="1" t="s">
        <v>140</v>
      </c>
      <c r="C131" s="1" t="str">
        <f t="shared" si="18"/>
        <v>null,</v>
      </c>
      <c r="D131" s="1" t="s">
        <v>336</v>
      </c>
      <c r="E131" s="1" t="str">
        <f t="shared" ca="1" si="19"/>
        <v>new DateTime (2026,3,25,4,26,24),</v>
      </c>
      <c r="F131" s="1" t="str">
        <f t="shared" si="20"/>
        <v>null,</v>
      </c>
      <c r="G131" s="1" t="s">
        <v>207</v>
      </c>
      <c r="H131" s="1" t="str">
        <f t="shared" si="21"/>
        <v>true,</v>
      </c>
      <c r="I131" s="1" t="str">
        <f t="shared" si="22"/>
        <v>false,</v>
      </c>
      <c r="J131" s="1" t="str">
        <f t="shared" si="23"/>
        <v>null,</v>
      </c>
      <c r="K131" s="1" t="str">
        <f t="shared" si="24"/>
        <v>null</v>
      </c>
      <c r="L131" s="6"/>
      <c r="M131" s="10" t="str">
        <f>_xlfn.TEXTJOIN("=",FALSE,A$2,A131)</f>
        <v>Id=129,</v>
      </c>
      <c r="N131" s="10" t="str">
        <f>_xlfn.TEXTJOIN("=",FALSE,B$2,B131)</f>
        <v>Title="کره شمالی",</v>
      </c>
      <c r="O131" s="10" t="str">
        <f>_xlfn.TEXTJOIN("=",FALSE,C$2,C131)</f>
        <v>ParentId=null,</v>
      </c>
      <c r="P131" s="10" t="str">
        <f>_xlfn.TEXTJOIN("=",FALSE,D$2,D131)</f>
        <v>Guid=Guid.Parse("336BA65C-49FF-48FC-992A-D7F64B7F452F"),</v>
      </c>
      <c r="Q131" s="10" t="str">
        <f t="shared" ca="1" si="25"/>
        <v>CreatedDate=new DateTime (2026,3,25,4,26,24),</v>
      </c>
      <c r="R131" s="10" t="str">
        <f t="shared" si="26"/>
        <v>CreatedUserId=null,</v>
      </c>
      <c r="S131" s="10" t="str">
        <f t="shared" si="27"/>
        <v>Description= "Created by seeding data",</v>
      </c>
      <c r="T131" s="10" t="str">
        <f t="shared" si="28"/>
        <v>IsActive=true,</v>
      </c>
      <c r="U131" s="10" t="str">
        <f t="shared" si="29"/>
        <v>IsDeleted=false,</v>
      </c>
      <c r="V131" s="10" t="str">
        <f t="shared" si="30"/>
        <v>LastModifiedDate=null,</v>
      </c>
      <c r="W131" s="10" t="str">
        <f t="shared" si="31"/>
        <v>LastModifiedUserId=null</v>
      </c>
      <c r="X131" s="9" t="str">
        <f t="shared" ca="1" si="32"/>
        <v>Id=129,Title="کره شمالی",ParentId=null,Guid=Guid.Parse("336BA65C-49FF-48FC-992A-D7F64B7F452F"),CreatedDate=new DateTime (2026,3,25,4,26,24),CreatedUserId=null,Description= "Created by seeding data",IsActive=true,IsDeleted=false,LastModifiedDate=null,LastModifiedUserId=null</v>
      </c>
      <c r="Y131" s="9" t="str">
        <f t="shared" ca="1" si="33"/>
        <v>new State{Id=129,Title="کره شمالی",ParentId=null,Guid=Guid.Parse("336BA65C-49FF-48FC-992A-D7F64B7F452F"),CreatedDate=new DateTime (2026,3,25,4,26,24),CreatedUserId=null,Description= "Created by seeding data",IsActive=true,IsDeleted=false,LastModifiedDate=null,LastModifiedUserId=null},</v>
      </c>
    </row>
    <row r="132" spans="1:25" x14ac:dyDescent="0.5">
      <c r="A132" s="1" t="str">
        <f t="shared" ref="A132:A195" si="34">ROW()-ROW($A$2)&amp;","</f>
        <v>130,</v>
      </c>
      <c r="B132" s="1" t="s">
        <v>141</v>
      </c>
      <c r="C132" s="1" t="str">
        <f t="shared" ref="C132:C195" si="35">"null,"</f>
        <v>null,</v>
      </c>
      <c r="D132" s="1" t="s">
        <v>337</v>
      </c>
      <c r="E132" s="1" t="str">
        <f t="shared" ref="E132:E195" ca="1" si="36">"new DateTime (" &amp; $C$1&amp;"),"</f>
        <v>new DateTime (2026,3,25,4,26,24),</v>
      </c>
      <c r="F132" s="1" t="str">
        <f t="shared" ref="F132:F195" si="37">"null,"</f>
        <v>null,</v>
      </c>
      <c r="G132" s="1" t="s">
        <v>207</v>
      </c>
      <c r="H132" s="1" t="str">
        <f t="shared" ref="H132:H195" si="38">"true,"</f>
        <v>true,</v>
      </c>
      <c r="I132" s="1" t="str">
        <f t="shared" ref="I132:I195" si="39">"false,"</f>
        <v>false,</v>
      </c>
      <c r="J132" s="1" t="str">
        <f t="shared" ref="J132:J195" si="40">"null,"</f>
        <v>null,</v>
      </c>
      <c r="K132" s="1" t="str">
        <f t="shared" ref="K132:K195" si="41">"null"</f>
        <v>null</v>
      </c>
      <c r="L132" s="6"/>
      <c r="M132" s="10" t="str">
        <f>_xlfn.TEXTJOIN("=",FALSE,A$2,A132)</f>
        <v>Id=130,</v>
      </c>
      <c r="N132" s="10" t="str">
        <f>_xlfn.TEXTJOIN("=",FALSE,B$2,B132)</f>
        <v>Title="کرواسی",</v>
      </c>
      <c r="O132" s="10" t="str">
        <f>_xlfn.TEXTJOIN("=",FALSE,C$2,C132)</f>
        <v>ParentId=null,</v>
      </c>
      <c r="P132" s="10" t="str">
        <f>_xlfn.TEXTJOIN("=",FALSE,D$2,D132)</f>
        <v>Guid=Guid.Parse("9898ED60-E11C-4F38-8635-47EA1E548A78"),</v>
      </c>
      <c r="Q132" s="10" t="str">
        <f t="shared" ref="Q132:Q195" ca="1" si="42">_xlfn.TEXTJOIN("=",FALSE,E$2,E132)</f>
        <v>CreatedDate=new DateTime (2026,3,25,4,26,24),</v>
      </c>
      <c r="R132" s="10" t="str">
        <f t="shared" ref="R132:R195" si="43">_xlfn.TEXTJOIN("=",FALSE,F$2,F132)</f>
        <v>CreatedUserId=null,</v>
      </c>
      <c r="S132" s="10" t="str">
        <f t="shared" ref="S132:S195" si="44">_xlfn.TEXTJOIN("=",FALSE,G$2,G132)</f>
        <v>Description= "Created by seeding data",</v>
      </c>
      <c r="T132" s="10" t="str">
        <f t="shared" ref="T132:T195" si="45">_xlfn.TEXTJOIN("=",FALSE,H$2,H132)</f>
        <v>IsActive=true,</v>
      </c>
      <c r="U132" s="10" t="str">
        <f t="shared" ref="U132:U195" si="46">_xlfn.TEXTJOIN("=",FALSE,I$2,I132)</f>
        <v>IsDeleted=false,</v>
      </c>
      <c r="V132" s="10" t="str">
        <f t="shared" ref="V132:V195" si="47">_xlfn.TEXTJOIN("=",FALSE,J$2,J132)</f>
        <v>LastModifiedDate=null,</v>
      </c>
      <c r="W132" s="10" t="str">
        <f t="shared" ref="W132:W195" si="48">_xlfn.TEXTJOIN("=",FALSE,K$2,K132)</f>
        <v>LastModifiedUserId=null</v>
      </c>
      <c r="X132" s="9" t="str">
        <f t="shared" ref="X132:X195" ca="1" si="49">_xlfn.TEXTJOIN("",FALSE,M132:W132)</f>
        <v>Id=130,Title="کرواسی",ParentId=null,Guid=Guid.Parse("9898ED60-E11C-4F38-8635-47EA1E548A78"),CreatedDate=new DateTime (2026,3,25,4,26,24),CreatedUserId=null,Description= "Created by seeding data",IsActive=true,IsDeleted=false,LastModifiedDate=null,LastModifiedUserId=null</v>
      </c>
      <c r="Y132" s="9" t="str">
        <f t="shared" ref="Y132:Y195" ca="1" si="50">"new State{" &amp;X132&amp; "},"</f>
        <v>new State{Id=130,Title="کرواسی",ParentId=null,Guid=Guid.Parse("9898ED60-E11C-4F38-8635-47EA1E548A78"),CreatedDate=new DateTime (2026,3,25,4,26,24),CreatedUserId=null,Description= "Created by seeding data",IsActive=true,IsDeleted=false,LastModifiedDate=null,LastModifiedUserId=null},</v>
      </c>
    </row>
    <row r="133" spans="1:25" x14ac:dyDescent="0.5">
      <c r="A133" s="1" t="str">
        <f t="shared" si="34"/>
        <v>131,</v>
      </c>
      <c r="B133" s="1" t="s">
        <v>142</v>
      </c>
      <c r="C133" s="1" t="str">
        <f t="shared" si="35"/>
        <v>null,</v>
      </c>
      <c r="D133" s="1" t="s">
        <v>338</v>
      </c>
      <c r="E133" s="1" t="str">
        <f t="shared" ca="1" si="36"/>
        <v>new DateTime (2026,3,25,4,26,24),</v>
      </c>
      <c r="F133" s="1" t="str">
        <f t="shared" si="37"/>
        <v>null,</v>
      </c>
      <c r="G133" s="1" t="s">
        <v>207</v>
      </c>
      <c r="H133" s="1" t="str">
        <f t="shared" si="38"/>
        <v>true,</v>
      </c>
      <c r="I133" s="1" t="str">
        <f t="shared" si="39"/>
        <v>false,</v>
      </c>
      <c r="J133" s="1" t="str">
        <f t="shared" si="40"/>
        <v>null,</v>
      </c>
      <c r="K133" s="1" t="str">
        <f t="shared" si="41"/>
        <v>null</v>
      </c>
      <c r="L133" s="6"/>
      <c r="M133" s="10" t="str">
        <f>_xlfn.TEXTJOIN("=",FALSE,A$2,A133)</f>
        <v>Id=131,</v>
      </c>
      <c r="N133" s="10" t="str">
        <f>_xlfn.TEXTJOIN("=",FALSE,B$2,B133)</f>
        <v>Title="کلمبیا",</v>
      </c>
      <c r="O133" s="10" t="str">
        <f>_xlfn.TEXTJOIN("=",FALSE,C$2,C133)</f>
        <v>ParentId=null,</v>
      </c>
      <c r="P133" s="10" t="str">
        <f>_xlfn.TEXTJOIN("=",FALSE,D$2,D133)</f>
        <v>Guid=Guid.Parse("5BB1F0C8-384A-47DB-A626-CFE7E9E24D29"),</v>
      </c>
      <c r="Q133" s="10" t="str">
        <f t="shared" ca="1" si="42"/>
        <v>CreatedDate=new DateTime (2026,3,25,4,26,24),</v>
      </c>
      <c r="R133" s="10" t="str">
        <f t="shared" si="43"/>
        <v>CreatedUserId=null,</v>
      </c>
      <c r="S133" s="10" t="str">
        <f t="shared" si="44"/>
        <v>Description= "Created by seeding data",</v>
      </c>
      <c r="T133" s="10" t="str">
        <f t="shared" si="45"/>
        <v>IsActive=true,</v>
      </c>
      <c r="U133" s="10" t="str">
        <f t="shared" si="46"/>
        <v>IsDeleted=false,</v>
      </c>
      <c r="V133" s="10" t="str">
        <f t="shared" si="47"/>
        <v>LastModifiedDate=null,</v>
      </c>
      <c r="W133" s="10" t="str">
        <f t="shared" si="48"/>
        <v>LastModifiedUserId=null</v>
      </c>
      <c r="X133" s="9" t="str">
        <f t="shared" ca="1" si="49"/>
        <v>Id=131,Title="کلمبیا",ParentId=null,Guid=Guid.Parse("5BB1F0C8-384A-47DB-A626-CFE7E9E24D29"),CreatedDate=new DateTime (2026,3,25,4,26,24),CreatedUserId=null,Description= "Created by seeding data",IsActive=true,IsDeleted=false,LastModifiedDate=null,LastModifiedUserId=null</v>
      </c>
      <c r="Y133" s="9" t="str">
        <f t="shared" ca="1" si="50"/>
        <v>new State{Id=131,Title="کلمبیا",ParentId=null,Guid=Guid.Parse("5BB1F0C8-384A-47DB-A626-CFE7E9E24D29"),CreatedDate=new DateTime (2026,3,25,4,26,24),CreatedUserId=null,Description= "Created by seeding data",IsActive=true,IsDeleted=false,LastModifiedDate=null,LastModifiedUserId=null},</v>
      </c>
    </row>
    <row r="134" spans="1:25" x14ac:dyDescent="0.5">
      <c r="A134" s="1" t="str">
        <f t="shared" si="34"/>
        <v>132,</v>
      </c>
      <c r="B134" s="1" t="s">
        <v>143</v>
      </c>
      <c r="C134" s="1" t="str">
        <f t="shared" si="35"/>
        <v>null,</v>
      </c>
      <c r="D134" s="1" t="s">
        <v>339</v>
      </c>
      <c r="E134" s="1" t="str">
        <f t="shared" ca="1" si="36"/>
        <v>new DateTime (2026,3,25,4,26,24),</v>
      </c>
      <c r="F134" s="1" t="str">
        <f t="shared" si="37"/>
        <v>null,</v>
      </c>
      <c r="G134" s="1" t="s">
        <v>207</v>
      </c>
      <c r="H134" s="1" t="str">
        <f t="shared" si="38"/>
        <v>true,</v>
      </c>
      <c r="I134" s="1" t="str">
        <f t="shared" si="39"/>
        <v>false,</v>
      </c>
      <c r="J134" s="1" t="str">
        <f t="shared" si="40"/>
        <v>null,</v>
      </c>
      <c r="K134" s="1" t="str">
        <f t="shared" si="41"/>
        <v>null</v>
      </c>
      <c r="L134" s="6"/>
      <c r="M134" s="10" t="str">
        <f>_xlfn.TEXTJOIN("=",FALSE,A$2,A134)</f>
        <v>Id=132,</v>
      </c>
      <c r="N134" s="10" t="str">
        <f>_xlfn.TEXTJOIN("=",FALSE,B$2,B134)</f>
        <v>Title="کنگو",</v>
      </c>
      <c r="O134" s="10" t="str">
        <f>_xlfn.TEXTJOIN("=",FALSE,C$2,C134)</f>
        <v>ParentId=null,</v>
      </c>
      <c r="P134" s="10" t="str">
        <f>_xlfn.TEXTJOIN("=",FALSE,D$2,D134)</f>
        <v>Guid=Guid.Parse("BA7DB685-0C8E-4287-A2A8-4934FF627C85"),</v>
      </c>
      <c r="Q134" s="10" t="str">
        <f t="shared" ca="1" si="42"/>
        <v>CreatedDate=new DateTime (2026,3,25,4,26,24),</v>
      </c>
      <c r="R134" s="10" t="str">
        <f t="shared" si="43"/>
        <v>CreatedUserId=null,</v>
      </c>
      <c r="S134" s="10" t="str">
        <f t="shared" si="44"/>
        <v>Description= "Created by seeding data",</v>
      </c>
      <c r="T134" s="10" t="str">
        <f t="shared" si="45"/>
        <v>IsActive=true,</v>
      </c>
      <c r="U134" s="10" t="str">
        <f t="shared" si="46"/>
        <v>IsDeleted=false,</v>
      </c>
      <c r="V134" s="10" t="str">
        <f t="shared" si="47"/>
        <v>LastModifiedDate=null,</v>
      </c>
      <c r="W134" s="10" t="str">
        <f t="shared" si="48"/>
        <v>LastModifiedUserId=null</v>
      </c>
      <c r="X134" s="9" t="str">
        <f t="shared" ca="1" si="49"/>
        <v>Id=132,Title="کنگو",ParentId=null,Guid=Guid.Parse("BA7DB685-0C8E-4287-A2A8-4934FF627C85"),CreatedDate=new DateTime (2026,3,25,4,26,24),CreatedUserId=null,Description= "Created by seeding data",IsActive=true,IsDeleted=false,LastModifiedDate=null,LastModifiedUserId=null</v>
      </c>
      <c r="Y134" s="9" t="str">
        <f t="shared" ca="1" si="50"/>
        <v>new State{Id=132,Title="کنگو",ParentId=null,Guid=Guid.Parse("BA7DB685-0C8E-4287-A2A8-4934FF627C85"),CreatedDate=new DateTime (2026,3,25,4,26,24),CreatedUserId=null,Description= "Created by seeding data",IsActive=true,IsDeleted=false,LastModifiedDate=null,LastModifiedUserId=null},</v>
      </c>
    </row>
    <row r="135" spans="1:25" x14ac:dyDescent="0.5">
      <c r="A135" s="1" t="str">
        <f t="shared" si="34"/>
        <v>133,</v>
      </c>
      <c r="B135" s="1" t="s">
        <v>144</v>
      </c>
      <c r="C135" s="1" t="str">
        <f t="shared" si="35"/>
        <v>null,</v>
      </c>
      <c r="D135" s="1" t="s">
        <v>340</v>
      </c>
      <c r="E135" s="1" t="str">
        <f t="shared" ca="1" si="36"/>
        <v>new DateTime (2026,3,25,4,26,24),</v>
      </c>
      <c r="F135" s="1" t="str">
        <f t="shared" si="37"/>
        <v>null,</v>
      </c>
      <c r="G135" s="1" t="s">
        <v>207</v>
      </c>
      <c r="H135" s="1" t="str">
        <f t="shared" si="38"/>
        <v>true,</v>
      </c>
      <c r="I135" s="1" t="str">
        <f t="shared" si="39"/>
        <v>false,</v>
      </c>
      <c r="J135" s="1" t="str">
        <f t="shared" si="40"/>
        <v>null,</v>
      </c>
      <c r="K135" s="1" t="str">
        <f t="shared" si="41"/>
        <v>null</v>
      </c>
      <c r="L135" s="6"/>
      <c r="M135" s="10" t="str">
        <f>_xlfn.TEXTJOIN("=",FALSE,A$2,A135)</f>
        <v>Id=133,</v>
      </c>
      <c r="N135" s="10" t="str">
        <f>_xlfn.TEXTJOIN("=",FALSE,B$2,B135)</f>
        <v>Title="کنیا",</v>
      </c>
      <c r="O135" s="10" t="str">
        <f>_xlfn.TEXTJOIN("=",FALSE,C$2,C135)</f>
        <v>ParentId=null,</v>
      </c>
      <c r="P135" s="10" t="str">
        <f>_xlfn.TEXTJOIN("=",FALSE,D$2,D135)</f>
        <v>Guid=Guid.Parse("1C14A119-BF8B-462D-A5D5-7F221CE4A630"),</v>
      </c>
      <c r="Q135" s="10" t="str">
        <f t="shared" ca="1" si="42"/>
        <v>CreatedDate=new DateTime (2026,3,25,4,26,24),</v>
      </c>
      <c r="R135" s="10" t="str">
        <f t="shared" si="43"/>
        <v>CreatedUserId=null,</v>
      </c>
      <c r="S135" s="10" t="str">
        <f t="shared" si="44"/>
        <v>Description= "Created by seeding data",</v>
      </c>
      <c r="T135" s="10" t="str">
        <f t="shared" si="45"/>
        <v>IsActive=true,</v>
      </c>
      <c r="U135" s="10" t="str">
        <f t="shared" si="46"/>
        <v>IsDeleted=false,</v>
      </c>
      <c r="V135" s="10" t="str">
        <f t="shared" si="47"/>
        <v>LastModifiedDate=null,</v>
      </c>
      <c r="W135" s="10" t="str">
        <f t="shared" si="48"/>
        <v>LastModifiedUserId=null</v>
      </c>
      <c r="X135" s="9" t="str">
        <f t="shared" ca="1" si="49"/>
        <v>Id=133,Title="کنیا",ParentId=null,Guid=Guid.Parse("1C14A119-BF8B-462D-A5D5-7F221CE4A630"),CreatedDate=new DateTime (2026,3,25,4,26,24),CreatedUserId=null,Description= "Created by seeding data",IsActive=true,IsDeleted=false,LastModifiedDate=null,LastModifiedUserId=null</v>
      </c>
      <c r="Y135" s="9" t="str">
        <f t="shared" ca="1" si="50"/>
        <v>new State{Id=133,Title="کنیا",ParentId=null,Guid=Guid.Parse("1C14A119-BF8B-462D-A5D5-7F221CE4A630"),CreatedDate=new DateTime (2026,3,25,4,26,24),CreatedUserId=null,Description= "Created by seeding data",IsActive=true,IsDeleted=false,LastModifiedDate=null,LastModifiedUserId=null},</v>
      </c>
    </row>
    <row r="136" spans="1:25" x14ac:dyDescent="0.5">
      <c r="A136" s="1" t="str">
        <f t="shared" si="34"/>
        <v>134,</v>
      </c>
      <c r="B136" s="1" t="s">
        <v>145</v>
      </c>
      <c r="C136" s="1" t="str">
        <f t="shared" si="35"/>
        <v>null,</v>
      </c>
      <c r="D136" s="1" t="s">
        <v>341</v>
      </c>
      <c r="E136" s="1" t="str">
        <f t="shared" ca="1" si="36"/>
        <v>new DateTime (2026,3,25,4,26,24),</v>
      </c>
      <c r="F136" s="1" t="str">
        <f t="shared" si="37"/>
        <v>null,</v>
      </c>
      <c r="G136" s="1" t="s">
        <v>207</v>
      </c>
      <c r="H136" s="1" t="str">
        <f t="shared" si="38"/>
        <v>true,</v>
      </c>
      <c r="I136" s="1" t="str">
        <f t="shared" si="39"/>
        <v>false,</v>
      </c>
      <c r="J136" s="1" t="str">
        <f t="shared" si="40"/>
        <v>null,</v>
      </c>
      <c r="K136" s="1" t="str">
        <f t="shared" si="41"/>
        <v>null</v>
      </c>
      <c r="L136" s="6"/>
      <c r="M136" s="10" t="str">
        <f>_xlfn.TEXTJOIN("=",FALSE,A$2,A136)</f>
        <v>Id=134,</v>
      </c>
      <c r="N136" s="10" t="str">
        <f>_xlfn.TEXTJOIN("=",FALSE,B$2,B136)</f>
        <v>Title="کوبا",</v>
      </c>
      <c r="O136" s="10" t="str">
        <f>_xlfn.TEXTJOIN("=",FALSE,C$2,C136)</f>
        <v>ParentId=null,</v>
      </c>
      <c r="P136" s="10" t="str">
        <f>_xlfn.TEXTJOIN("=",FALSE,D$2,D136)</f>
        <v>Guid=Guid.Parse("FE4E11D2-0565-4317-BE62-FFF05BBFA0DF"),</v>
      </c>
      <c r="Q136" s="10" t="str">
        <f t="shared" ca="1" si="42"/>
        <v>CreatedDate=new DateTime (2026,3,25,4,26,24),</v>
      </c>
      <c r="R136" s="10" t="str">
        <f t="shared" si="43"/>
        <v>CreatedUserId=null,</v>
      </c>
      <c r="S136" s="10" t="str">
        <f t="shared" si="44"/>
        <v>Description= "Created by seeding data",</v>
      </c>
      <c r="T136" s="10" t="str">
        <f t="shared" si="45"/>
        <v>IsActive=true,</v>
      </c>
      <c r="U136" s="10" t="str">
        <f t="shared" si="46"/>
        <v>IsDeleted=false,</v>
      </c>
      <c r="V136" s="10" t="str">
        <f t="shared" si="47"/>
        <v>LastModifiedDate=null,</v>
      </c>
      <c r="W136" s="10" t="str">
        <f t="shared" si="48"/>
        <v>LastModifiedUserId=null</v>
      </c>
      <c r="X136" s="9" t="str">
        <f t="shared" ca="1" si="49"/>
        <v>Id=134,Title="کوبا",ParentId=null,Guid=Guid.Parse("FE4E11D2-0565-4317-BE62-FFF05BBFA0DF"),CreatedDate=new DateTime (2026,3,25,4,26,24),CreatedUserId=null,Description= "Created by seeding data",IsActive=true,IsDeleted=false,LastModifiedDate=null,LastModifiedUserId=null</v>
      </c>
      <c r="Y136" s="9" t="str">
        <f t="shared" ca="1" si="50"/>
        <v>new State{Id=134,Title="کوبا",ParentId=null,Guid=Guid.Parse("FE4E11D2-0565-4317-BE62-FFF05BBFA0DF"),CreatedDate=new DateTime (2026,3,25,4,26,24),CreatedUserId=null,Description= "Created by seeding data",IsActive=true,IsDeleted=false,LastModifiedDate=null,LastModifiedUserId=null},</v>
      </c>
    </row>
    <row r="137" spans="1:25" x14ac:dyDescent="0.5">
      <c r="A137" s="1" t="str">
        <f t="shared" si="34"/>
        <v>135,</v>
      </c>
      <c r="B137" s="1" t="s">
        <v>146</v>
      </c>
      <c r="C137" s="1" t="str">
        <f t="shared" si="35"/>
        <v>null,</v>
      </c>
      <c r="D137" s="1" t="s">
        <v>342</v>
      </c>
      <c r="E137" s="1" t="str">
        <f t="shared" ca="1" si="36"/>
        <v>new DateTime (2026,3,25,4,26,24),</v>
      </c>
      <c r="F137" s="1" t="str">
        <f t="shared" si="37"/>
        <v>null,</v>
      </c>
      <c r="G137" s="1" t="s">
        <v>207</v>
      </c>
      <c r="H137" s="1" t="str">
        <f t="shared" si="38"/>
        <v>true,</v>
      </c>
      <c r="I137" s="1" t="str">
        <f t="shared" si="39"/>
        <v>false,</v>
      </c>
      <c r="J137" s="1" t="str">
        <f t="shared" si="40"/>
        <v>null,</v>
      </c>
      <c r="K137" s="1" t="str">
        <f t="shared" si="41"/>
        <v>null</v>
      </c>
      <c r="L137" s="6"/>
      <c r="M137" s="10" t="str">
        <f>_xlfn.TEXTJOIN("=",FALSE,A$2,A137)</f>
        <v>Id=135,</v>
      </c>
      <c r="N137" s="10" t="str">
        <f>_xlfn.TEXTJOIN("=",FALSE,B$2,B137)</f>
        <v>Title="کومور",</v>
      </c>
      <c r="O137" s="10" t="str">
        <f>_xlfn.TEXTJOIN("=",FALSE,C$2,C137)</f>
        <v>ParentId=null,</v>
      </c>
      <c r="P137" s="10" t="str">
        <f>_xlfn.TEXTJOIN("=",FALSE,D$2,D137)</f>
        <v>Guid=Guid.Parse("1855A9E5-6B40-401D-A71F-D17AAF5B3942"),</v>
      </c>
      <c r="Q137" s="10" t="str">
        <f t="shared" ca="1" si="42"/>
        <v>CreatedDate=new DateTime (2026,3,25,4,26,24),</v>
      </c>
      <c r="R137" s="10" t="str">
        <f t="shared" si="43"/>
        <v>CreatedUserId=null,</v>
      </c>
      <c r="S137" s="10" t="str">
        <f t="shared" si="44"/>
        <v>Description= "Created by seeding data",</v>
      </c>
      <c r="T137" s="10" t="str">
        <f t="shared" si="45"/>
        <v>IsActive=true,</v>
      </c>
      <c r="U137" s="10" t="str">
        <f t="shared" si="46"/>
        <v>IsDeleted=false,</v>
      </c>
      <c r="V137" s="10" t="str">
        <f t="shared" si="47"/>
        <v>LastModifiedDate=null,</v>
      </c>
      <c r="W137" s="10" t="str">
        <f t="shared" si="48"/>
        <v>LastModifiedUserId=null</v>
      </c>
      <c r="X137" s="9" t="str">
        <f t="shared" ca="1" si="49"/>
        <v>Id=135,Title="کومور",ParentId=null,Guid=Guid.Parse("1855A9E5-6B40-401D-A71F-D17AAF5B3942"),CreatedDate=new DateTime (2026,3,25,4,26,24),CreatedUserId=null,Description= "Created by seeding data",IsActive=true,IsDeleted=false,LastModifiedDate=null,LastModifiedUserId=null</v>
      </c>
      <c r="Y137" s="9" t="str">
        <f t="shared" ca="1" si="50"/>
        <v>new State{Id=135,Title="کومور",ParentId=null,Guid=Guid.Parse("1855A9E5-6B40-401D-A71F-D17AAF5B3942"),CreatedDate=new DateTime (2026,3,25,4,26,24),CreatedUserId=null,Description= "Created by seeding data",IsActive=true,IsDeleted=false,LastModifiedDate=null,LastModifiedUserId=null},</v>
      </c>
    </row>
    <row r="138" spans="1:25" x14ac:dyDescent="0.5">
      <c r="A138" s="1" t="str">
        <f t="shared" si="34"/>
        <v>136,</v>
      </c>
      <c r="B138" s="1" t="s">
        <v>147</v>
      </c>
      <c r="C138" s="1" t="str">
        <f t="shared" si="35"/>
        <v>null,</v>
      </c>
      <c r="D138" s="1" t="s">
        <v>343</v>
      </c>
      <c r="E138" s="1" t="str">
        <f t="shared" ca="1" si="36"/>
        <v>new DateTime (2026,3,25,4,26,24),</v>
      </c>
      <c r="F138" s="1" t="str">
        <f t="shared" si="37"/>
        <v>null,</v>
      </c>
      <c r="G138" s="1" t="s">
        <v>207</v>
      </c>
      <c r="H138" s="1" t="str">
        <f t="shared" si="38"/>
        <v>true,</v>
      </c>
      <c r="I138" s="1" t="str">
        <f t="shared" si="39"/>
        <v>false,</v>
      </c>
      <c r="J138" s="1" t="str">
        <f t="shared" si="40"/>
        <v>null,</v>
      </c>
      <c r="K138" s="1" t="str">
        <f t="shared" si="41"/>
        <v>null</v>
      </c>
      <c r="L138" s="6"/>
      <c r="M138" s="10" t="str">
        <f>_xlfn.TEXTJOIN("=",FALSE,A$2,A138)</f>
        <v>Id=136,</v>
      </c>
      <c r="N138" s="10" t="str">
        <f>_xlfn.TEXTJOIN("=",FALSE,B$2,B138)</f>
        <v>Title="کویت",</v>
      </c>
      <c r="O138" s="10" t="str">
        <f>_xlfn.TEXTJOIN("=",FALSE,C$2,C138)</f>
        <v>ParentId=null,</v>
      </c>
      <c r="P138" s="10" t="str">
        <f>_xlfn.TEXTJOIN("=",FALSE,D$2,D138)</f>
        <v>Guid=Guid.Parse("EA3D8E10-9B7E-436E-96AF-DC6DD44F0805"),</v>
      </c>
      <c r="Q138" s="10" t="str">
        <f t="shared" ca="1" si="42"/>
        <v>CreatedDate=new DateTime (2026,3,25,4,26,24),</v>
      </c>
      <c r="R138" s="10" t="str">
        <f t="shared" si="43"/>
        <v>CreatedUserId=null,</v>
      </c>
      <c r="S138" s="10" t="str">
        <f t="shared" si="44"/>
        <v>Description= "Created by seeding data",</v>
      </c>
      <c r="T138" s="10" t="str">
        <f t="shared" si="45"/>
        <v>IsActive=true,</v>
      </c>
      <c r="U138" s="10" t="str">
        <f t="shared" si="46"/>
        <v>IsDeleted=false,</v>
      </c>
      <c r="V138" s="10" t="str">
        <f t="shared" si="47"/>
        <v>LastModifiedDate=null,</v>
      </c>
      <c r="W138" s="10" t="str">
        <f t="shared" si="48"/>
        <v>LastModifiedUserId=null</v>
      </c>
      <c r="X138" s="9" t="str">
        <f t="shared" ca="1" si="49"/>
        <v>Id=136,Title="کویت",ParentId=null,Guid=Guid.Parse("EA3D8E10-9B7E-436E-96AF-DC6DD44F0805"),CreatedDate=new DateTime (2026,3,25,4,26,24),CreatedUserId=null,Description= "Created by seeding data",IsActive=true,IsDeleted=false,LastModifiedDate=null,LastModifiedUserId=null</v>
      </c>
      <c r="Y138" s="9" t="str">
        <f t="shared" ca="1" si="50"/>
        <v>new State{Id=136,Title="کویت",ParentId=null,Guid=Guid.Parse("EA3D8E10-9B7E-436E-96AF-DC6DD44F0805"),CreatedDate=new DateTime (2026,3,25,4,26,24),CreatedUserId=null,Description= "Created by seeding data",IsActive=true,IsDeleted=false,LastModifiedDate=null,LastModifiedUserId=null},</v>
      </c>
    </row>
    <row r="139" spans="1:25" x14ac:dyDescent="0.5">
      <c r="A139" s="1" t="str">
        <f t="shared" si="34"/>
        <v>137,</v>
      </c>
      <c r="B139" s="1" t="s">
        <v>148</v>
      </c>
      <c r="C139" s="1" t="str">
        <f t="shared" si="35"/>
        <v>null,</v>
      </c>
      <c r="D139" s="1" t="s">
        <v>344</v>
      </c>
      <c r="E139" s="1" t="str">
        <f t="shared" ca="1" si="36"/>
        <v>new DateTime (2026,3,25,4,26,24),</v>
      </c>
      <c r="F139" s="1" t="str">
        <f t="shared" si="37"/>
        <v>null,</v>
      </c>
      <c r="G139" s="1" t="s">
        <v>207</v>
      </c>
      <c r="H139" s="1" t="str">
        <f t="shared" si="38"/>
        <v>true,</v>
      </c>
      <c r="I139" s="1" t="str">
        <f t="shared" si="39"/>
        <v>false,</v>
      </c>
      <c r="J139" s="1" t="str">
        <f t="shared" si="40"/>
        <v>null,</v>
      </c>
      <c r="K139" s="1" t="str">
        <f t="shared" si="41"/>
        <v>null</v>
      </c>
      <c r="L139" s="6"/>
      <c r="M139" s="10" t="str">
        <f>_xlfn.TEXTJOIN("=",FALSE,A$2,A139)</f>
        <v>Id=137,</v>
      </c>
      <c r="N139" s="10" t="str">
        <f>_xlfn.TEXTJOIN("=",FALSE,B$2,B139)</f>
        <v>Title="کیپ ورد",</v>
      </c>
      <c r="O139" s="10" t="str">
        <f>_xlfn.TEXTJOIN("=",FALSE,C$2,C139)</f>
        <v>ParentId=null,</v>
      </c>
      <c r="P139" s="10" t="str">
        <f>_xlfn.TEXTJOIN("=",FALSE,D$2,D139)</f>
        <v>Guid=Guid.Parse("2CEE913C-86B6-4617-B135-66AEFB6106D1"),</v>
      </c>
      <c r="Q139" s="10" t="str">
        <f t="shared" ca="1" si="42"/>
        <v>CreatedDate=new DateTime (2026,3,25,4,26,24),</v>
      </c>
      <c r="R139" s="10" t="str">
        <f t="shared" si="43"/>
        <v>CreatedUserId=null,</v>
      </c>
      <c r="S139" s="10" t="str">
        <f t="shared" si="44"/>
        <v>Description= "Created by seeding data",</v>
      </c>
      <c r="T139" s="10" t="str">
        <f t="shared" si="45"/>
        <v>IsActive=true,</v>
      </c>
      <c r="U139" s="10" t="str">
        <f t="shared" si="46"/>
        <v>IsDeleted=false,</v>
      </c>
      <c r="V139" s="10" t="str">
        <f t="shared" si="47"/>
        <v>LastModifiedDate=null,</v>
      </c>
      <c r="W139" s="10" t="str">
        <f t="shared" si="48"/>
        <v>LastModifiedUserId=null</v>
      </c>
      <c r="X139" s="9" t="str">
        <f t="shared" ca="1" si="49"/>
        <v>Id=137,Title="کیپ ورد",ParentId=null,Guid=Guid.Parse("2CEE913C-86B6-4617-B135-66AEFB6106D1"),CreatedDate=new DateTime (2026,3,25,4,26,24),CreatedUserId=null,Description= "Created by seeding data",IsActive=true,IsDeleted=false,LastModifiedDate=null,LastModifiedUserId=null</v>
      </c>
      <c r="Y139" s="9" t="str">
        <f t="shared" ca="1" si="50"/>
        <v>new State{Id=137,Title="کیپ ورد",ParentId=null,Guid=Guid.Parse("2CEE913C-86B6-4617-B135-66AEFB6106D1"),CreatedDate=new DateTime (2026,3,25,4,26,24),CreatedUserId=null,Description= "Created by seeding data",IsActive=true,IsDeleted=false,LastModifiedDate=null,LastModifiedUserId=null},</v>
      </c>
    </row>
    <row r="140" spans="1:25" x14ac:dyDescent="0.5">
      <c r="A140" s="1" t="str">
        <f t="shared" si="34"/>
        <v>138,</v>
      </c>
      <c r="B140" s="1" t="s">
        <v>149</v>
      </c>
      <c r="C140" s="1" t="str">
        <f t="shared" si="35"/>
        <v>null,</v>
      </c>
      <c r="D140" s="1" t="s">
        <v>345</v>
      </c>
      <c r="E140" s="1" t="str">
        <f t="shared" ca="1" si="36"/>
        <v>new DateTime (2026,3,25,4,26,24),</v>
      </c>
      <c r="F140" s="1" t="str">
        <f t="shared" si="37"/>
        <v>null,</v>
      </c>
      <c r="G140" s="1" t="s">
        <v>207</v>
      </c>
      <c r="H140" s="1" t="str">
        <f t="shared" si="38"/>
        <v>true,</v>
      </c>
      <c r="I140" s="1" t="str">
        <f t="shared" si="39"/>
        <v>false,</v>
      </c>
      <c r="J140" s="1" t="str">
        <f t="shared" si="40"/>
        <v>null,</v>
      </c>
      <c r="K140" s="1" t="str">
        <f t="shared" si="41"/>
        <v>null</v>
      </c>
      <c r="L140" s="6"/>
      <c r="M140" s="10" t="str">
        <f>_xlfn.TEXTJOIN("=",FALSE,A$2,A140)</f>
        <v>Id=138,</v>
      </c>
      <c r="N140" s="10" t="str">
        <f>_xlfn.TEXTJOIN("=",FALSE,B$2,B140)</f>
        <v>Title="کیریباتی",</v>
      </c>
      <c r="O140" s="10" t="str">
        <f>_xlfn.TEXTJOIN("=",FALSE,C$2,C140)</f>
        <v>ParentId=null,</v>
      </c>
      <c r="P140" s="10" t="str">
        <f>_xlfn.TEXTJOIN("=",FALSE,D$2,D140)</f>
        <v>Guid=Guid.Parse("4E8DA8C5-264A-43A9-9CB2-DE0C9F343CFA"),</v>
      </c>
      <c r="Q140" s="10" t="str">
        <f t="shared" ca="1" si="42"/>
        <v>CreatedDate=new DateTime (2026,3,25,4,26,24),</v>
      </c>
      <c r="R140" s="10" t="str">
        <f t="shared" si="43"/>
        <v>CreatedUserId=null,</v>
      </c>
      <c r="S140" s="10" t="str">
        <f t="shared" si="44"/>
        <v>Description= "Created by seeding data",</v>
      </c>
      <c r="T140" s="10" t="str">
        <f t="shared" si="45"/>
        <v>IsActive=true,</v>
      </c>
      <c r="U140" s="10" t="str">
        <f t="shared" si="46"/>
        <v>IsDeleted=false,</v>
      </c>
      <c r="V140" s="10" t="str">
        <f t="shared" si="47"/>
        <v>LastModifiedDate=null,</v>
      </c>
      <c r="W140" s="10" t="str">
        <f t="shared" si="48"/>
        <v>LastModifiedUserId=null</v>
      </c>
      <c r="X140" s="9" t="str">
        <f t="shared" ca="1" si="49"/>
        <v>Id=138,Title="کیریباتی",ParentId=null,Guid=Guid.Parse("4E8DA8C5-264A-43A9-9CB2-DE0C9F343CFA"),CreatedDate=new DateTime (2026,3,25,4,26,24),CreatedUserId=null,Description= "Created by seeding data",IsActive=true,IsDeleted=false,LastModifiedDate=null,LastModifiedUserId=null</v>
      </c>
      <c r="Y140" s="9" t="str">
        <f t="shared" ca="1" si="50"/>
        <v>new State{Id=138,Title="کیریباتی",ParentId=null,Guid=Guid.Parse("4E8DA8C5-264A-43A9-9CB2-DE0C9F343CFA"),CreatedDate=new DateTime (2026,3,25,4,26,24),CreatedUserId=null,Description= "Created by seeding data",IsActive=true,IsDeleted=false,LastModifiedDate=null,LastModifiedUserId=null},</v>
      </c>
    </row>
    <row r="141" spans="1:25" x14ac:dyDescent="0.5">
      <c r="A141" s="1" t="str">
        <f t="shared" si="34"/>
        <v>139,</v>
      </c>
      <c r="B141" s="1" t="s">
        <v>150</v>
      </c>
      <c r="C141" s="1" t="str">
        <f t="shared" si="35"/>
        <v>null,</v>
      </c>
      <c r="D141" s="1" t="s">
        <v>346</v>
      </c>
      <c r="E141" s="1" t="str">
        <f t="shared" ca="1" si="36"/>
        <v>new DateTime (2026,3,25,4,26,24),</v>
      </c>
      <c r="F141" s="1" t="str">
        <f t="shared" si="37"/>
        <v>null,</v>
      </c>
      <c r="G141" s="1" t="s">
        <v>207</v>
      </c>
      <c r="H141" s="1" t="str">
        <f t="shared" si="38"/>
        <v>true,</v>
      </c>
      <c r="I141" s="1" t="str">
        <f t="shared" si="39"/>
        <v>false,</v>
      </c>
      <c r="J141" s="1" t="str">
        <f t="shared" si="40"/>
        <v>null,</v>
      </c>
      <c r="K141" s="1" t="str">
        <f t="shared" si="41"/>
        <v>null</v>
      </c>
      <c r="L141" s="6"/>
      <c r="M141" s="10" t="str">
        <f>_xlfn.TEXTJOIN("=",FALSE,A$2,A141)</f>
        <v>Id=139,</v>
      </c>
      <c r="N141" s="10" t="str">
        <f>_xlfn.TEXTJOIN("=",FALSE,B$2,B141)</f>
        <v>Title="گابن",</v>
      </c>
      <c r="O141" s="10" t="str">
        <f>_xlfn.TEXTJOIN("=",FALSE,C$2,C141)</f>
        <v>ParentId=null,</v>
      </c>
      <c r="P141" s="10" t="str">
        <f>_xlfn.TEXTJOIN("=",FALSE,D$2,D141)</f>
        <v>Guid=Guid.Parse("D95ED732-D417-47A9-A8C8-102929320B28"),</v>
      </c>
      <c r="Q141" s="10" t="str">
        <f t="shared" ca="1" si="42"/>
        <v>CreatedDate=new DateTime (2026,3,25,4,26,24),</v>
      </c>
      <c r="R141" s="10" t="str">
        <f t="shared" si="43"/>
        <v>CreatedUserId=null,</v>
      </c>
      <c r="S141" s="10" t="str">
        <f t="shared" si="44"/>
        <v>Description= "Created by seeding data",</v>
      </c>
      <c r="T141" s="10" t="str">
        <f t="shared" si="45"/>
        <v>IsActive=true,</v>
      </c>
      <c r="U141" s="10" t="str">
        <f t="shared" si="46"/>
        <v>IsDeleted=false,</v>
      </c>
      <c r="V141" s="10" t="str">
        <f t="shared" si="47"/>
        <v>LastModifiedDate=null,</v>
      </c>
      <c r="W141" s="10" t="str">
        <f t="shared" si="48"/>
        <v>LastModifiedUserId=null</v>
      </c>
      <c r="X141" s="9" t="str">
        <f t="shared" ca="1" si="49"/>
        <v>Id=139,Title="گابن",ParentId=null,Guid=Guid.Parse("D95ED732-D417-47A9-A8C8-102929320B28"),CreatedDate=new DateTime (2026,3,25,4,26,24),CreatedUserId=null,Description= "Created by seeding data",IsActive=true,IsDeleted=false,LastModifiedDate=null,LastModifiedUserId=null</v>
      </c>
      <c r="Y141" s="9" t="str">
        <f t="shared" ca="1" si="50"/>
        <v>new State{Id=139,Title="گابن",ParentId=null,Guid=Guid.Parse("D95ED732-D417-47A9-A8C8-102929320B28"),CreatedDate=new DateTime (2026,3,25,4,26,24),CreatedUserId=null,Description= "Created by seeding data",IsActive=true,IsDeleted=false,LastModifiedDate=null,LastModifiedUserId=null},</v>
      </c>
    </row>
    <row r="142" spans="1:25" x14ac:dyDescent="0.5">
      <c r="A142" s="1" t="str">
        <f t="shared" si="34"/>
        <v>140,</v>
      </c>
      <c r="B142" s="1" t="s">
        <v>151</v>
      </c>
      <c r="C142" s="1" t="str">
        <f t="shared" si="35"/>
        <v>null,</v>
      </c>
      <c r="D142" s="1" t="s">
        <v>347</v>
      </c>
      <c r="E142" s="1" t="str">
        <f t="shared" ca="1" si="36"/>
        <v>new DateTime (2026,3,25,4,26,24),</v>
      </c>
      <c r="F142" s="1" t="str">
        <f t="shared" si="37"/>
        <v>null,</v>
      </c>
      <c r="G142" s="1" t="s">
        <v>207</v>
      </c>
      <c r="H142" s="1" t="str">
        <f t="shared" si="38"/>
        <v>true,</v>
      </c>
      <c r="I142" s="1" t="str">
        <f t="shared" si="39"/>
        <v>false,</v>
      </c>
      <c r="J142" s="1" t="str">
        <f t="shared" si="40"/>
        <v>null,</v>
      </c>
      <c r="K142" s="1" t="str">
        <f t="shared" si="41"/>
        <v>null</v>
      </c>
      <c r="L142" s="6"/>
      <c r="M142" s="10" t="str">
        <f>_xlfn.TEXTJOIN("=",FALSE,A$2,A142)</f>
        <v>Id=140,</v>
      </c>
      <c r="N142" s="10" t="str">
        <f>_xlfn.TEXTJOIN("=",FALSE,B$2,B142)</f>
        <v>Title="گامبیا",</v>
      </c>
      <c r="O142" s="10" t="str">
        <f>_xlfn.TEXTJOIN("=",FALSE,C$2,C142)</f>
        <v>ParentId=null,</v>
      </c>
      <c r="P142" s="10" t="str">
        <f>_xlfn.TEXTJOIN("=",FALSE,D$2,D142)</f>
        <v>Guid=Guid.Parse("ECC59C8A-9104-4148-8E7B-D640028AE409"),</v>
      </c>
      <c r="Q142" s="10" t="str">
        <f t="shared" ca="1" si="42"/>
        <v>CreatedDate=new DateTime (2026,3,25,4,26,24),</v>
      </c>
      <c r="R142" s="10" t="str">
        <f t="shared" si="43"/>
        <v>CreatedUserId=null,</v>
      </c>
      <c r="S142" s="10" t="str">
        <f t="shared" si="44"/>
        <v>Description= "Created by seeding data",</v>
      </c>
      <c r="T142" s="10" t="str">
        <f t="shared" si="45"/>
        <v>IsActive=true,</v>
      </c>
      <c r="U142" s="10" t="str">
        <f t="shared" si="46"/>
        <v>IsDeleted=false,</v>
      </c>
      <c r="V142" s="10" t="str">
        <f t="shared" si="47"/>
        <v>LastModifiedDate=null,</v>
      </c>
      <c r="W142" s="10" t="str">
        <f t="shared" si="48"/>
        <v>LastModifiedUserId=null</v>
      </c>
      <c r="X142" s="9" t="str">
        <f t="shared" ca="1" si="49"/>
        <v>Id=140,Title="گامبیا",ParentId=null,Guid=Guid.Parse("ECC59C8A-9104-4148-8E7B-D640028AE409"),CreatedDate=new DateTime (2026,3,25,4,26,24),CreatedUserId=null,Description= "Created by seeding data",IsActive=true,IsDeleted=false,LastModifiedDate=null,LastModifiedUserId=null</v>
      </c>
      <c r="Y142" s="9" t="str">
        <f t="shared" ca="1" si="50"/>
        <v>new State{Id=140,Title="گامبیا",ParentId=null,Guid=Guid.Parse("ECC59C8A-9104-4148-8E7B-D640028AE409"),CreatedDate=new DateTime (2026,3,25,4,26,24),CreatedUserId=null,Description= "Created by seeding data",IsActive=true,IsDeleted=false,LastModifiedDate=null,LastModifiedUserId=null},</v>
      </c>
    </row>
    <row r="143" spans="1:25" x14ac:dyDescent="0.5">
      <c r="A143" s="1" t="str">
        <f t="shared" si="34"/>
        <v>141,</v>
      </c>
      <c r="B143" s="1" t="s">
        <v>152</v>
      </c>
      <c r="C143" s="1" t="str">
        <f t="shared" si="35"/>
        <v>null,</v>
      </c>
      <c r="D143" s="1" t="s">
        <v>348</v>
      </c>
      <c r="E143" s="1" t="str">
        <f t="shared" ca="1" si="36"/>
        <v>new DateTime (2026,3,25,4,26,24),</v>
      </c>
      <c r="F143" s="1" t="str">
        <f t="shared" si="37"/>
        <v>null,</v>
      </c>
      <c r="G143" s="1" t="s">
        <v>207</v>
      </c>
      <c r="H143" s="1" t="str">
        <f t="shared" si="38"/>
        <v>true,</v>
      </c>
      <c r="I143" s="1" t="str">
        <f t="shared" si="39"/>
        <v>false,</v>
      </c>
      <c r="J143" s="1" t="str">
        <f t="shared" si="40"/>
        <v>null,</v>
      </c>
      <c r="K143" s="1" t="str">
        <f t="shared" si="41"/>
        <v>null</v>
      </c>
      <c r="L143" s="6"/>
      <c r="M143" s="10" t="str">
        <f>_xlfn.TEXTJOIN("=",FALSE,A$2,A143)</f>
        <v>Id=141,</v>
      </c>
      <c r="N143" s="10" t="str">
        <f>_xlfn.TEXTJOIN("=",FALSE,B$2,B143)</f>
        <v>Title="گرجستان",</v>
      </c>
      <c r="O143" s="10" t="str">
        <f>_xlfn.TEXTJOIN("=",FALSE,C$2,C143)</f>
        <v>ParentId=null,</v>
      </c>
      <c r="P143" s="10" t="str">
        <f>_xlfn.TEXTJOIN("=",FALSE,D$2,D143)</f>
        <v>Guid=Guid.Parse("27AF0861-BF33-4369-85D6-621EA7FEE83E"),</v>
      </c>
      <c r="Q143" s="10" t="str">
        <f t="shared" ca="1" si="42"/>
        <v>CreatedDate=new DateTime (2026,3,25,4,26,24),</v>
      </c>
      <c r="R143" s="10" t="str">
        <f t="shared" si="43"/>
        <v>CreatedUserId=null,</v>
      </c>
      <c r="S143" s="10" t="str">
        <f t="shared" si="44"/>
        <v>Description= "Created by seeding data",</v>
      </c>
      <c r="T143" s="10" t="str">
        <f t="shared" si="45"/>
        <v>IsActive=true,</v>
      </c>
      <c r="U143" s="10" t="str">
        <f t="shared" si="46"/>
        <v>IsDeleted=false,</v>
      </c>
      <c r="V143" s="10" t="str">
        <f t="shared" si="47"/>
        <v>LastModifiedDate=null,</v>
      </c>
      <c r="W143" s="10" t="str">
        <f t="shared" si="48"/>
        <v>LastModifiedUserId=null</v>
      </c>
      <c r="X143" s="9" t="str">
        <f t="shared" ca="1" si="49"/>
        <v>Id=141,Title="گرجستان",ParentId=null,Guid=Guid.Parse("27AF0861-BF33-4369-85D6-621EA7FEE83E"),CreatedDate=new DateTime (2026,3,25,4,26,24),CreatedUserId=null,Description= "Created by seeding data",IsActive=true,IsDeleted=false,LastModifiedDate=null,LastModifiedUserId=null</v>
      </c>
      <c r="Y143" s="9" t="str">
        <f t="shared" ca="1" si="50"/>
        <v>new State{Id=141,Title="گرجستان",ParentId=null,Guid=Guid.Parse("27AF0861-BF33-4369-85D6-621EA7FEE83E"),CreatedDate=new DateTime (2026,3,25,4,26,24),CreatedUserId=null,Description= "Created by seeding data",IsActive=true,IsDeleted=false,LastModifiedDate=null,LastModifiedUserId=null},</v>
      </c>
    </row>
    <row r="144" spans="1:25" x14ac:dyDescent="0.5">
      <c r="A144" s="1" t="str">
        <f t="shared" si="34"/>
        <v>142,</v>
      </c>
      <c r="B144" s="1" t="s">
        <v>153</v>
      </c>
      <c r="C144" s="1" t="str">
        <f t="shared" si="35"/>
        <v>null,</v>
      </c>
      <c r="D144" s="1" t="s">
        <v>349</v>
      </c>
      <c r="E144" s="1" t="str">
        <f t="shared" ca="1" si="36"/>
        <v>new DateTime (2026,3,25,4,26,24),</v>
      </c>
      <c r="F144" s="1" t="str">
        <f t="shared" si="37"/>
        <v>null,</v>
      </c>
      <c r="G144" s="1" t="s">
        <v>207</v>
      </c>
      <c r="H144" s="1" t="str">
        <f t="shared" si="38"/>
        <v>true,</v>
      </c>
      <c r="I144" s="1" t="str">
        <f t="shared" si="39"/>
        <v>false,</v>
      </c>
      <c r="J144" s="1" t="str">
        <f t="shared" si="40"/>
        <v>null,</v>
      </c>
      <c r="K144" s="1" t="str">
        <f t="shared" si="41"/>
        <v>null</v>
      </c>
      <c r="L144" s="6"/>
      <c r="M144" s="10" t="str">
        <f>_xlfn.TEXTJOIN("=",FALSE,A$2,A144)</f>
        <v>Id=142,</v>
      </c>
      <c r="N144" s="10" t="str">
        <f>_xlfn.TEXTJOIN("=",FALSE,B$2,B144)</f>
        <v>Title="گرنادا",</v>
      </c>
      <c r="O144" s="10" t="str">
        <f>_xlfn.TEXTJOIN("=",FALSE,C$2,C144)</f>
        <v>ParentId=null,</v>
      </c>
      <c r="P144" s="10" t="str">
        <f>_xlfn.TEXTJOIN("=",FALSE,D$2,D144)</f>
        <v>Guid=Guid.Parse("7CFA99E3-F372-4961-8405-147F95E8E2C1"),</v>
      </c>
      <c r="Q144" s="10" t="str">
        <f t="shared" ca="1" si="42"/>
        <v>CreatedDate=new DateTime (2026,3,25,4,26,24),</v>
      </c>
      <c r="R144" s="10" t="str">
        <f t="shared" si="43"/>
        <v>CreatedUserId=null,</v>
      </c>
      <c r="S144" s="10" t="str">
        <f t="shared" si="44"/>
        <v>Description= "Created by seeding data",</v>
      </c>
      <c r="T144" s="10" t="str">
        <f t="shared" si="45"/>
        <v>IsActive=true,</v>
      </c>
      <c r="U144" s="10" t="str">
        <f t="shared" si="46"/>
        <v>IsDeleted=false,</v>
      </c>
      <c r="V144" s="10" t="str">
        <f t="shared" si="47"/>
        <v>LastModifiedDate=null,</v>
      </c>
      <c r="W144" s="10" t="str">
        <f t="shared" si="48"/>
        <v>LastModifiedUserId=null</v>
      </c>
      <c r="X144" s="9" t="str">
        <f t="shared" ca="1" si="49"/>
        <v>Id=142,Title="گرنادا",ParentId=null,Guid=Guid.Parse("7CFA99E3-F372-4961-8405-147F95E8E2C1"),CreatedDate=new DateTime (2026,3,25,4,26,24),CreatedUserId=null,Description= "Created by seeding data",IsActive=true,IsDeleted=false,LastModifiedDate=null,LastModifiedUserId=null</v>
      </c>
      <c r="Y144" s="9" t="str">
        <f t="shared" ca="1" si="50"/>
        <v>new State{Id=142,Title="گرنادا",ParentId=null,Guid=Guid.Parse("7CFA99E3-F372-4961-8405-147F95E8E2C1"),CreatedDate=new DateTime (2026,3,25,4,26,24),CreatedUserId=null,Description= "Created by seeding data",IsActive=true,IsDeleted=false,LastModifiedDate=null,LastModifiedUserId=null},</v>
      </c>
    </row>
    <row r="145" spans="1:25" x14ac:dyDescent="0.5">
      <c r="A145" s="1" t="str">
        <f t="shared" si="34"/>
        <v>143,</v>
      </c>
      <c r="B145" s="1" t="s">
        <v>154</v>
      </c>
      <c r="C145" s="1" t="str">
        <f t="shared" si="35"/>
        <v>null,</v>
      </c>
      <c r="D145" s="1" t="s">
        <v>350</v>
      </c>
      <c r="E145" s="1" t="str">
        <f t="shared" ca="1" si="36"/>
        <v>new DateTime (2026,3,25,4,26,24),</v>
      </c>
      <c r="F145" s="1" t="str">
        <f t="shared" si="37"/>
        <v>null,</v>
      </c>
      <c r="G145" s="1" t="s">
        <v>207</v>
      </c>
      <c r="H145" s="1" t="str">
        <f t="shared" si="38"/>
        <v>true,</v>
      </c>
      <c r="I145" s="1" t="str">
        <f t="shared" si="39"/>
        <v>false,</v>
      </c>
      <c r="J145" s="1" t="str">
        <f t="shared" si="40"/>
        <v>null,</v>
      </c>
      <c r="K145" s="1" t="str">
        <f t="shared" si="41"/>
        <v>null</v>
      </c>
      <c r="L145" s="6"/>
      <c r="M145" s="10" t="str">
        <f>_xlfn.TEXTJOIN("=",FALSE,A$2,A145)</f>
        <v>Id=143,</v>
      </c>
      <c r="N145" s="10" t="str">
        <f>_xlfn.TEXTJOIN("=",FALSE,B$2,B145)</f>
        <v>Title="گواتمالا",</v>
      </c>
      <c r="O145" s="10" t="str">
        <f>_xlfn.TEXTJOIN("=",FALSE,C$2,C145)</f>
        <v>ParentId=null,</v>
      </c>
      <c r="P145" s="10" t="str">
        <f>_xlfn.TEXTJOIN("=",FALSE,D$2,D145)</f>
        <v>Guid=Guid.Parse("11A7CF15-D34E-44BC-B9B5-1FFAB378EF37"),</v>
      </c>
      <c r="Q145" s="10" t="str">
        <f t="shared" ca="1" si="42"/>
        <v>CreatedDate=new DateTime (2026,3,25,4,26,24),</v>
      </c>
      <c r="R145" s="10" t="str">
        <f t="shared" si="43"/>
        <v>CreatedUserId=null,</v>
      </c>
      <c r="S145" s="10" t="str">
        <f t="shared" si="44"/>
        <v>Description= "Created by seeding data",</v>
      </c>
      <c r="T145" s="10" t="str">
        <f t="shared" si="45"/>
        <v>IsActive=true,</v>
      </c>
      <c r="U145" s="10" t="str">
        <f t="shared" si="46"/>
        <v>IsDeleted=false,</v>
      </c>
      <c r="V145" s="10" t="str">
        <f t="shared" si="47"/>
        <v>LastModifiedDate=null,</v>
      </c>
      <c r="W145" s="10" t="str">
        <f t="shared" si="48"/>
        <v>LastModifiedUserId=null</v>
      </c>
      <c r="X145" s="9" t="str">
        <f t="shared" ca="1" si="49"/>
        <v>Id=143,Title="گواتمالا",ParentId=null,Guid=Guid.Parse("11A7CF15-D34E-44BC-B9B5-1FFAB378EF37"),CreatedDate=new DateTime (2026,3,25,4,26,24),CreatedUserId=null,Description= "Created by seeding data",IsActive=true,IsDeleted=false,LastModifiedDate=null,LastModifiedUserId=null</v>
      </c>
      <c r="Y145" s="9" t="str">
        <f t="shared" ca="1" si="50"/>
        <v>new State{Id=143,Title="گواتمالا",ParentId=null,Guid=Guid.Parse("11A7CF15-D34E-44BC-B9B5-1FFAB378EF37"),CreatedDate=new DateTime (2026,3,25,4,26,24),CreatedUserId=null,Description= "Created by seeding data",IsActive=true,IsDeleted=false,LastModifiedDate=null,LastModifiedUserId=null},</v>
      </c>
    </row>
    <row r="146" spans="1:25" x14ac:dyDescent="0.5">
      <c r="A146" s="1" t="str">
        <f t="shared" si="34"/>
        <v>144,</v>
      </c>
      <c r="B146" s="1" t="s">
        <v>155</v>
      </c>
      <c r="C146" s="1" t="str">
        <f t="shared" si="35"/>
        <v>null,</v>
      </c>
      <c r="D146" s="1" t="s">
        <v>351</v>
      </c>
      <c r="E146" s="1" t="str">
        <f t="shared" ca="1" si="36"/>
        <v>new DateTime (2026,3,25,4,26,24),</v>
      </c>
      <c r="F146" s="1" t="str">
        <f t="shared" si="37"/>
        <v>null,</v>
      </c>
      <c r="G146" s="1" t="s">
        <v>207</v>
      </c>
      <c r="H146" s="1" t="str">
        <f t="shared" si="38"/>
        <v>true,</v>
      </c>
      <c r="I146" s="1" t="str">
        <f t="shared" si="39"/>
        <v>false,</v>
      </c>
      <c r="J146" s="1" t="str">
        <f t="shared" si="40"/>
        <v>null,</v>
      </c>
      <c r="K146" s="1" t="str">
        <f t="shared" si="41"/>
        <v>null</v>
      </c>
      <c r="L146" s="6"/>
      <c r="M146" s="10" t="str">
        <f>_xlfn.TEXTJOIN("=",FALSE,A$2,A146)</f>
        <v>Id=144,</v>
      </c>
      <c r="N146" s="10" t="str">
        <f>_xlfn.TEXTJOIN("=",FALSE,B$2,B146)</f>
        <v>Title="گویان",</v>
      </c>
      <c r="O146" s="10" t="str">
        <f>_xlfn.TEXTJOIN("=",FALSE,C$2,C146)</f>
        <v>ParentId=null,</v>
      </c>
      <c r="P146" s="10" t="str">
        <f>_xlfn.TEXTJOIN("=",FALSE,D$2,D146)</f>
        <v>Guid=Guid.Parse("CF1110A0-78F8-47DD-AF27-C65D06CF92FE"),</v>
      </c>
      <c r="Q146" s="10" t="str">
        <f t="shared" ca="1" si="42"/>
        <v>CreatedDate=new DateTime (2026,3,25,4,26,24),</v>
      </c>
      <c r="R146" s="10" t="str">
        <f t="shared" si="43"/>
        <v>CreatedUserId=null,</v>
      </c>
      <c r="S146" s="10" t="str">
        <f t="shared" si="44"/>
        <v>Description= "Created by seeding data",</v>
      </c>
      <c r="T146" s="10" t="str">
        <f t="shared" si="45"/>
        <v>IsActive=true,</v>
      </c>
      <c r="U146" s="10" t="str">
        <f t="shared" si="46"/>
        <v>IsDeleted=false,</v>
      </c>
      <c r="V146" s="10" t="str">
        <f t="shared" si="47"/>
        <v>LastModifiedDate=null,</v>
      </c>
      <c r="W146" s="10" t="str">
        <f t="shared" si="48"/>
        <v>LastModifiedUserId=null</v>
      </c>
      <c r="X146" s="9" t="str">
        <f t="shared" ca="1" si="49"/>
        <v>Id=144,Title="گویان",ParentId=null,Guid=Guid.Parse("CF1110A0-78F8-47DD-AF27-C65D06CF92FE"),CreatedDate=new DateTime (2026,3,25,4,26,24),CreatedUserId=null,Description= "Created by seeding data",IsActive=true,IsDeleted=false,LastModifiedDate=null,LastModifiedUserId=null</v>
      </c>
      <c r="Y146" s="9" t="str">
        <f t="shared" ca="1" si="50"/>
        <v>new State{Id=144,Title="گویان",ParentId=null,Guid=Guid.Parse("CF1110A0-78F8-47DD-AF27-C65D06CF92FE"),CreatedDate=new DateTime (2026,3,25,4,26,24),CreatedUserId=null,Description= "Created by seeding data",IsActive=true,IsDeleted=false,LastModifiedDate=null,LastModifiedUserId=null},</v>
      </c>
    </row>
    <row r="147" spans="1:25" x14ac:dyDescent="0.5">
      <c r="A147" s="1" t="str">
        <f t="shared" si="34"/>
        <v>145,</v>
      </c>
      <c r="B147" s="1" t="s">
        <v>156</v>
      </c>
      <c r="C147" s="1" t="str">
        <f t="shared" si="35"/>
        <v>null,</v>
      </c>
      <c r="D147" s="1" t="s">
        <v>352</v>
      </c>
      <c r="E147" s="1" t="str">
        <f t="shared" ca="1" si="36"/>
        <v>new DateTime (2026,3,25,4,26,24),</v>
      </c>
      <c r="F147" s="1" t="str">
        <f t="shared" si="37"/>
        <v>null,</v>
      </c>
      <c r="G147" s="1" t="s">
        <v>207</v>
      </c>
      <c r="H147" s="1" t="str">
        <f t="shared" si="38"/>
        <v>true,</v>
      </c>
      <c r="I147" s="1" t="str">
        <f t="shared" si="39"/>
        <v>false,</v>
      </c>
      <c r="J147" s="1" t="str">
        <f t="shared" si="40"/>
        <v>null,</v>
      </c>
      <c r="K147" s="1" t="str">
        <f t="shared" si="41"/>
        <v>null</v>
      </c>
      <c r="L147" s="6"/>
      <c r="M147" s="10" t="str">
        <f>_xlfn.TEXTJOIN("=",FALSE,A$2,A147)</f>
        <v>Id=145,</v>
      </c>
      <c r="N147" s="10" t="str">
        <f>_xlfn.TEXTJOIN("=",FALSE,B$2,B147)</f>
        <v>Title="گینه",</v>
      </c>
      <c r="O147" s="10" t="str">
        <f>_xlfn.TEXTJOIN("=",FALSE,C$2,C147)</f>
        <v>ParentId=null,</v>
      </c>
      <c r="P147" s="10" t="str">
        <f>_xlfn.TEXTJOIN("=",FALSE,D$2,D147)</f>
        <v>Guid=Guid.Parse("2C2965CD-936A-484B-899F-F1C25D6C8F9B"),</v>
      </c>
      <c r="Q147" s="10" t="str">
        <f t="shared" ca="1" si="42"/>
        <v>CreatedDate=new DateTime (2026,3,25,4,26,24),</v>
      </c>
      <c r="R147" s="10" t="str">
        <f t="shared" si="43"/>
        <v>CreatedUserId=null,</v>
      </c>
      <c r="S147" s="10" t="str">
        <f t="shared" si="44"/>
        <v>Description= "Created by seeding data",</v>
      </c>
      <c r="T147" s="10" t="str">
        <f t="shared" si="45"/>
        <v>IsActive=true,</v>
      </c>
      <c r="U147" s="10" t="str">
        <f t="shared" si="46"/>
        <v>IsDeleted=false,</v>
      </c>
      <c r="V147" s="10" t="str">
        <f t="shared" si="47"/>
        <v>LastModifiedDate=null,</v>
      </c>
      <c r="W147" s="10" t="str">
        <f t="shared" si="48"/>
        <v>LastModifiedUserId=null</v>
      </c>
      <c r="X147" s="9" t="str">
        <f t="shared" ca="1" si="49"/>
        <v>Id=145,Title="گینه",ParentId=null,Guid=Guid.Parse("2C2965CD-936A-484B-899F-F1C25D6C8F9B"),CreatedDate=new DateTime (2026,3,25,4,26,24),CreatedUserId=null,Description= "Created by seeding data",IsActive=true,IsDeleted=false,LastModifiedDate=null,LastModifiedUserId=null</v>
      </c>
      <c r="Y147" s="9" t="str">
        <f t="shared" ca="1" si="50"/>
        <v>new State{Id=145,Title="گینه",ParentId=null,Guid=Guid.Parse("2C2965CD-936A-484B-899F-F1C25D6C8F9B"),CreatedDate=new DateTime (2026,3,25,4,26,24),CreatedUserId=null,Description= "Created by seeding data",IsActive=true,IsDeleted=false,LastModifiedDate=null,LastModifiedUserId=null},</v>
      </c>
    </row>
    <row r="148" spans="1:25" x14ac:dyDescent="0.5">
      <c r="A148" s="1" t="str">
        <f t="shared" si="34"/>
        <v>146,</v>
      </c>
      <c r="B148" s="1" t="s">
        <v>157</v>
      </c>
      <c r="C148" s="1" t="str">
        <f t="shared" si="35"/>
        <v>null,</v>
      </c>
      <c r="D148" s="1" t="s">
        <v>353</v>
      </c>
      <c r="E148" s="1" t="str">
        <f t="shared" ca="1" si="36"/>
        <v>new DateTime (2026,3,25,4,26,24),</v>
      </c>
      <c r="F148" s="1" t="str">
        <f t="shared" si="37"/>
        <v>null,</v>
      </c>
      <c r="G148" s="1" t="s">
        <v>207</v>
      </c>
      <c r="H148" s="1" t="str">
        <f t="shared" si="38"/>
        <v>true,</v>
      </c>
      <c r="I148" s="1" t="str">
        <f t="shared" si="39"/>
        <v>false,</v>
      </c>
      <c r="J148" s="1" t="str">
        <f t="shared" si="40"/>
        <v>null,</v>
      </c>
      <c r="K148" s="1" t="str">
        <f t="shared" si="41"/>
        <v>null</v>
      </c>
      <c r="L148" s="6"/>
      <c r="M148" s="10" t="str">
        <f>_xlfn.TEXTJOIN("=",FALSE,A$2,A148)</f>
        <v>Id=146,</v>
      </c>
      <c r="N148" s="10" t="str">
        <f>_xlfn.TEXTJOIN("=",FALSE,B$2,B148)</f>
        <v>Title="گینه استوایی",</v>
      </c>
      <c r="O148" s="10" t="str">
        <f>_xlfn.TEXTJOIN("=",FALSE,C$2,C148)</f>
        <v>ParentId=null,</v>
      </c>
      <c r="P148" s="10" t="str">
        <f>_xlfn.TEXTJOIN("=",FALSE,D$2,D148)</f>
        <v>Guid=Guid.Parse("BEF19367-E367-4EBD-B273-459CDD00648A"),</v>
      </c>
      <c r="Q148" s="10" t="str">
        <f t="shared" ca="1" si="42"/>
        <v>CreatedDate=new DateTime (2026,3,25,4,26,24),</v>
      </c>
      <c r="R148" s="10" t="str">
        <f t="shared" si="43"/>
        <v>CreatedUserId=null,</v>
      </c>
      <c r="S148" s="10" t="str">
        <f t="shared" si="44"/>
        <v>Description= "Created by seeding data",</v>
      </c>
      <c r="T148" s="10" t="str">
        <f t="shared" si="45"/>
        <v>IsActive=true,</v>
      </c>
      <c r="U148" s="10" t="str">
        <f t="shared" si="46"/>
        <v>IsDeleted=false,</v>
      </c>
      <c r="V148" s="10" t="str">
        <f t="shared" si="47"/>
        <v>LastModifiedDate=null,</v>
      </c>
      <c r="W148" s="10" t="str">
        <f t="shared" si="48"/>
        <v>LastModifiedUserId=null</v>
      </c>
      <c r="X148" s="9" t="str">
        <f t="shared" ca="1" si="49"/>
        <v>Id=146,Title="گینه استوایی",ParentId=null,Guid=Guid.Parse("BEF19367-E367-4EBD-B273-459CDD00648A"),CreatedDate=new DateTime (2026,3,25,4,26,24),CreatedUserId=null,Description= "Created by seeding data",IsActive=true,IsDeleted=false,LastModifiedDate=null,LastModifiedUserId=null</v>
      </c>
      <c r="Y148" s="9" t="str">
        <f t="shared" ca="1" si="50"/>
        <v>new State{Id=146,Title="گینه استوایی",ParentId=null,Guid=Guid.Parse("BEF19367-E367-4EBD-B273-459CDD00648A"),CreatedDate=new DateTime (2026,3,25,4,26,24),CreatedUserId=null,Description= "Created by seeding data",IsActive=true,IsDeleted=false,LastModifiedDate=null,LastModifiedUserId=null},</v>
      </c>
    </row>
    <row r="149" spans="1:25" x14ac:dyDescent="0.5">
      <c r="A149" s="1" t="str">
        <f t="shared" si="34"/>
        <v>147,</v>
      </c>
      <c r="B149" s="1" t="s">
        <v>158</v>
      </c>
      <c r="C149" s="1" t="str">
        <f t="shared" si="35"/>
        <v>null,</v>
      </c>
      <c r="D149" s="1" t="s">
        <v>354</v>
      </c>
      <c r="E149" s="1" t="str">
        <f t="shared" ca="1" si="36"/>
        <v>new DateTime (2026,3,25,4,26,24),</v>
      </c>
      <c r="F149" s="1" t="str">
        <f t="shared" si="37"/>
        <v>null,</v>
      </c>
      <c r="G149" s="1" t="s">
        <v>207</v>
      </c>
      <c r="H149" s="1" t="str">
        <f t="shared" si="38"/>
        <v>true,</v>
      </c>
      <c r="I149" s="1" t="str">
        <f t="shared" si="39"/>
        <v>false,</v>
      </c>
      <c r="J149" s="1" t="str">
        <f t="shared" si="40"/>
        <v>null,</v>
      </c>
      <c r="K149" s="1" t="str">
        <f t="shared" si="41"/>
        <v>null</v>
      </c>
      <c r="L149" s="6"/>
      <c r="M149" s="10" t="str">
        <f>_xlfn.TEXTJOIN("=",FALSE,A$2,A149)</f>
        <v>Id=147,</v>
      </c>
      <c r="N149" s="10" t="str">
        <f>_xlfn.TEXTJOIN("=",FALSE,B$2,B149)</f>
        <v>Title="گینه بیسائو",</v>
      </c>
      <c r="O149" s="10" t="str">
        <f>_xlfn.TEXTJOIN("=",FALSE,C$2,C149)</f>
        <v>ParentId=null,</v>
      </c>
      <c r="P149" s="10" t="str">
        <f>_xlfn.TEXTJOIN("=",FALSE,D$2,D149)</f>
        <v>Guid=Guid.Parse("BA16AB33-624F-4A5D-A591-8DD62B366647"),</v>
      </c>
      <c r="Q149" s="10" t="str">
        <f t="shared" ca="1" si="42"/>
        <v>CreatedDate=new DateTime (2026,3,25,4,26,24),</v>
      </c>
      <c r="R149" s="10" t="str">
        <f t="shared" si="43"/>
        <v>CreatedUserId=null,</v>
      </c>
      <c r="S149" s="10" t="str">
        <f t="shared" si="44"/>
        <v>Description= "Created by seeding data",</v>
      </c>
      <c r="T149" s="10" t="str">
        <f t="shared" si="45"/>
        <v>IsActive=true,</v>
      </c>
      <c r="U149" s="10" t="str">
        <f t="shared" si="46"/>
        <v>IsDeleted=false,</v>
      </c>
      <c r="V149" s="10" t="str">
        <f t="shared" si="47"/>
        <v>LastModifiedDate=null,</v>
      </c>
      <c r="W149" s="10" t="str">
        <f t="shared" si="48"/>
        <v>LastModifiedUserId=null</v>
      </c>
      <c r="X149" s="9" t="str">
        <f t="shared" ca="1" si="49"/>
        <v>Id=147,Title="گینه بیسائو",ParentId=null,Guid=Guid.Parse("BA16AB33-624F-4A5D-A591-8DD62B366647"),CreatedDate=new DateTime (2026,3,25,4,26,24),CreatedUserId=null,Description= "Created by seeding data",IsActive=true,IsDeleted=false,LastModifiedDate=null,LastModifiedUserId=null</v>
      </c>
      <c r="Y149" s="9" t="str">
        <f t="shared" ca="1" si="50"/>
        <v>new State{Id=147,Title="گینه بیسائو",ParentId=null,Guid=Guid.Parse("BA16AB33-624F-4A5D-A591-8DD62B366647"),CreatedDate=new DateTime (2026,3,25,4,26,24),CreatedUserId=null,Description= "Created by seeding data",IsActive=true,IsDeleted=false,LastModifiedDate=null,LastModifiedUserId=null},</v>
      </c>
    </row>
    <row r="150" spans="1:25" x14ac:dyDescent="0.5">
      <c r="A150" s="1" t="str">
        <f t="shared" si="34"/>
        <v>148,</v>
      </c>
      <c r="B150" s="1" t="s">
        <v>159</v>
      </c>
      <c r="C150" s="1" t="str">
        <f t="shared" si="35"/>
        <v>null,</v>
      </c>
      <c r="D150" s="1" t="s">
        <v>355</v>
      </c>
      <c r="E150" s="1" t="str">
        <f t="shared" ca="1" si="36"/>
        <v>new DateTime (2026,3,25,4,26,24),</v>
      </c>
      <c r="F150" s="1" t="str">
        <f t="shared" si="37"/>
        <v>null,</v>
      </c>
      <c r="G150" s="1" t="s">
        <v>207</v>
      </c>
      <c r="H150" s="1" t="str">
        <f t="shared" si="38"/>
        <v>true,</v>
      </c>
      <c r="I150" s="1" t="str">
        <f t="shared" si="39"/>
        <v>false,</v>
      </c>
      <c r="J150" s="1" t="str">
        <f t="shared" si="40"/>
        <v>null,</v>
      </c>
      <c r="K150" s="1" t="str">
        <f t="shared" si="41"/>
        <v>null</v>
      </c>
      <c r="L150" s="6"/>
      <c r="M150" s="10" t="str">
        <f>_xlfn.TEXTJOIN("=",FALSE,A$2,A150)</f>
        <v>Id=148,</v>
      </c>
      <c r="N150" s="10" t="str">
        <f>_xlfn.TEXTJOIN("=",FALSE,B$2,B150)</f>
        <v>Title="لائوس",</v>
      </c>
      <c r="O150" s="10" t="str">
        <f>_xlfn.TEXTJOIN("=",FALSE,C$2,C150)</f>
        <v>ParentId=null,</v>
      </c>
      <c r="P150" s="10" t="str">
        <f>_xlfn.TEXTJOIN("=",FALSE,D$2,D150)</f>
        <v>Guid=Guid.Parse("952C2F01-01E8-4634-87A9-4161D0EF990E"),</v>
      </c>
      <c r="Q150" s="10" t="str">
        <f t="shared" ca="1" si="42"/>
        <v>CreatedDate=new DateTime (2026,3,25,4,26,24),</v>
      </c>
      <c r="R150" s="10" t="str">
        <f t="shared" si="43"/>
        <v>CreatedUserId=null,</v>
      </c>
      <c r="S150" s="10" t="str">
        <f t="shared" si="44"/>
        <v>Description= "Created by seeding data",</v>
      </c>
      <c r="T150" s="10" t="str">
        <f t="shared" si="45"/>
        <v>IsActive=true,</v>
      </c>
      <c r="U150" s="10" t="str">
        <f t="shared" si="46"/>
        <v>IsDeleted=false,</v>
      </c>
      <c r="V150" s="10" t="str">
        <f t="shared" si="47"/>
        <v>LastModifiedDate=null,</v>
      </c>
      <c r="W150" s="10" t="str">
        <f t="shared" si="48"/>
        <v>LastModifiedUserId=null</v>
      </c>
      <c r="X150" s="9" t="str">
        <f t="shared" ca="1" si="49"/>
        <v>Id=148,Title="لائوس",ParentId=null,Guid=Guid.Parse("952C2F01-01E8-4634-87A9-4161D0EF990E"),CreatedDate=new DateTime (2026,3,25,4,26,24),CreatedUserId=null,Description= "Created by seeding data",IsActive=true,IsDeleted=false,LastModifiedDate=null,LastModifiedUserId=null</v>
      </c>
      <c r="Y150" s="9" t="str">
        <f t="shared" ca="1" si="50"/>
        <v>new State{Id=148,Title="لائوس",ParentId=null,Guid=Guid.Parse("952C2F01-01E8-4634-87A9-4161D0EF990E"),CreatedDate=new DateTime (2026,3,25,4,26,24),CreatedUserId=null,Description= "Created by seeding data",IsActive=true,IsDeleted=false,LastModifiedDate=null,LastModifiedUserId=null},</v>
      </c>
    </row>
    <row r="151" spans="1:25" x14ac:dyDescent="0.5">
      <c r="A151" s="1" t="str">
        <f t="shared" si="34"/>
        <v>149,</v>
      </c>
      <c r="B151" s="1" t="s">
        <v>160</v>
      </c>
      <c r="C151" s="1" t="str">
        <f t="shared" si="35"/>
        <v>null,</v>
      </c>
      <c r="D151" s="1" t="s">
        <v>356</v>
      </c>
      <c r="E151" s="1" t="str">
        <f t="shared" ca="1" si="36"/>
        <v>new DateTime (2026,3,25,4,26,24),</v>
      </c>
      <c r="F151" s="1" t="str">
        <f t="shared" si="37"/>
        <v>null,</v>
      </c>
      <c r="G151" s="1" t="s">
        <v>207</v>
      </c>
      <c r="H151" s="1" t="str">
        <f t="shared" si="38"/>
        <v>true,</v>
      </c>
      <c r="I151" s="1" t="str">
        <f t="shared" si="39"/>
        <v>false,</v>
      </c>
      <c r="J151" s="1" t="str">
        <f t="shared" si="40"/>
        <v>null,</v>
      </c>
      <c r="K151" s="1" t="str">
        <f t="shared" si="41"/>
        <v>null</v>
      </c>
      <c r="L151" s="6"/>
      <c r="M151" s="10" t="str">
        <f>_xlfn.TEXTJOIN("=",FALSE,A$2,A151)</f>
        <v>Id=149,</v>
      </c>
      <c r="N151" s="10" t="str">
        <f>_xlfn.TEXTJOIN("=",FALSE,B$2,B151)</f>
        <v>Title="لبنان",</v>
      </c>
      <c r="O151" s="10" t="str">
        <f>_xlfn.TEXTJOIN("=",FALSE,C$2,C151)</f>
        <v>ParentId=null,</v>
      </c>
      <c r="P151" s="10" t="str">
        <f>_xlfn.TEXTJOIN("=",FALSE,D$2,D151)</f>
        <v>Guid=Guid.Parse("E03A3B24-A8D7-489C-AEE5-F6F9338CAD7E"),</v>
      </c>
      <c r="Q151" s="10" t="str">
        <f t="shared" ca="1" si="42"/>
        <v>CreatedDate=new DateTime (2026,3,25,4,26,24),</v>
      </c>
      <c r="R151" s="10" t="str">
        <f t="shared" si="43"/>
        <v>CreatedUserId=null,</v>
      </c>
      <c r="S151" s="10" t="str">
        <f t="shared" si="44"/>
        <v>Description= "Created by seeding data",</v>
      </c>
      <c r="T151" s="10" t="str">
        <f t="shared" si="45"/>
        <v>IsActive=true,</v>
      </c>
      <c r="U151" s="10" t="str">
        <f t="shared" si="46"/>
        <v>IsDeleted=false,</v>
      </c>
      <c r="V151" s="10" t="str">
        <f t="shared" si="47"/>
        <v>LastModifiedDate=null,</v>
      </c>
      <c r="W151" s="10" t="str">
        <f t="shared" si="48"/>
        <v>LastModifiedUserId=null</v>
      </c>
      <c r="X151" s="9" t="str">
        <f t="shared" ca="1" si="49"/>
        <v>Id=149,Title="لبنان",ParentId=null,Guid=Guid.Parse("E03A3B24-A8D7-489C-AEE5-F6F9338CAD7E"),CreatedDate=new DateTime (2026,3,25,4,26,24),CreatedUserId=null,Description= "Created by seeding data",IsActive=true,IsDeleted=false,LastModifiedDate=null,LastModifiedUserId=null</v>
      </c>
      <c r="Y151" s="9" t="str">
        <f t="shared" ca="1" si="50"/>
        <v>new State{Id=149,Title="لبنان",ParentId=null,Guid=Guid.Parse("E03A3B24-A8D7-489C-AEE5-F6F9338CAD7E"),CreatedDate=new DateTime (2026,3,25,4,26,24),CreatedUserId=null,Description= "Created by seeding data",IsActive=true,IsDeleted=false,LastModifiedDate=null,LastModifiedUserId=null},</v>
      </c>
    </row>
    <row r="152" spans="1:25" x14ac:dyDescent="0.5">
      <c r="A152" s="1" t="str">
        <f t="shared" si="34"/>
        <v>150,</v>
      </c>
      <c r="B152" s="1" t="s">
        <v>161</v>
      </c>
      <c r="C152" s="1" t="str">
        <f t="shared" si="35"/>
        <v>null,</v>
      </c>
      <c r="D152" s="1" t="s">
        <v>357</v>
      </c>
      <c r="E152" s="1" t="str">
        <f t="shared" ca="1" si="36"/>
        <v>new DateTime (2026,3,25,4,26,24),</v>
      </c>
      <c r="F152" s="1" t="str">
        <f t="shared" si="37"/>
        <v>null,</v>
      </c>
      <c r="G152" s="1" t="s">
        <v>207</v>
      </c>
      <c r="H152" s="1" t="str">
        <f t="shared" si="38"/>
        <v>true,</v>
      </c>
      <c r="I152" s="1" t="str">
        <f t="shared" si="39"/>
        <v>false,</v>
      </c>
      <c r="J152" s="1" t="str">
        <f t="shared" si="40"/>
        <v>null,</v>
      </c>
      <c r="K152" s="1" t="str">
        <f t="shared" si="41"/>
        <v>null</v>
      </c>
      <c r="L152" s="6"/>
      <c r="M152" s="10" t="str">
        <f>_xlfn.TEXTJOIN("=",FALSE,A$2,A152)</f>
        <v>Id=150,</v>
      </c>
      <c r="N152" s="10" t="str">
        <f>_xlfn.TEXTJOIN("=",FALSE,B$2,B152)</f>
        <v>Title="لتونی",</v>
      </c>
      <c r="O152" s="10" t="str">
        <f>_xlfn.TEXTJOIN("=",FALSE,C$2,C152)</f>
        <v>ParentId=null,</v>
      </c>
      <c r="P152" s="10" t="str">
        <f>_xlfn.TEXTJOIN("=",FALSE,D$2,D152)</f>
        <v>Guid=Guid.Parse("D7FEC80F-4B9B-4D15-B02B-1E11BE4208E4"),</v>
      </c>
      <c r="Q152" s="10" t="str">
        <f t="shared" ca="1" si="42"/>
        <v>CreatedDate=new DateTime (2026,3,25,4,26,24),</v>
      </c>
      <c r="R152" s="10" t="str">
        <f t="shared" si="43"/>
        <v>CreatedUserId=null,</v>
      </c>
      <c r="S152" s="10" t="str">
        <f t="shared" si="44"/>
        <v>Description= "Created by seeding data",</v>
      </c>
      <c r="T152" s="10" t="str">
        <f t="shared" si="45"/>
        <v>IsActive=true,</v>
      </c>
      <c r="U152" s="10" t="str">
        <f t="shared" si="46"/>
        <v>IsDeleted=false,</v>
      </c>
      <c r="V152" s="10" t="str">
        <f t="shared" si="47"/>
        <v>LastModifiedDate=null,</v>
      </c>
      <c r="W152" s="10" t="str">
        <f t="shared" si="48"/>
        <v>LastModifiedUserId=null</v>
      </c>
      <c r="X152" s="9" t="str">
        <f t="shared" ca="1" si="49"/>
        <v>Id=150,Title="لتونی",ParentId=null,Guid=Guid.Parse("D7FEC80F-4B9B-4D15-B02B-1E11BE4208E4"),CreatedDate=new DateTime (2026,3,25,4,26,24),CreatedUserId=null,Description= "Created by seeding data",IsActive=true,IsDeleted=false,LastModifiedDate=null,LastModifiedUserId=null</v>
      </c>
      <c r="Y152" s="9" t="str">
        <f t="shared" ca="1" si="50"/>
        <v>new State{Id=150,Title="لتونی",ParentId=null,Guid=Guid.Parse("D7FEC80F-4B9B-4D15-B02B-1E11BE4208E4"),CreatedDate=new DateTime (2026,3,25,4,26,24),CreatedUserId=null,Description= "Created by seeding data",IsActive=true,IsDeleted=false,LastModifiedDate=null,LastModifiedUserId=null},</v>
      </c>
    </row>
    <row r="153" spans="1:25" x14ac:dyDescent="0.5">
      <c r="A153" s="1" t="str">
        <f t="shared" si="34"/>
        <v>151,</v>
      </c>
      <c r="B153" s="1" t="s">
        <v>162</v>
      </c>
      <c r="C153" s="1" t="str">
        <f t="shared" si="35"/>
        <v>null,</v>
      </c>
      <c r="D153" s="1" t="s">
        <v>358</v>
      </c>
      <c r="E153" s="1" t="str">
        <f t="shared" ca="1" si="36"/>
        <v>new DateTime (2026,3,25,4,26,24),</v>
      </c>
      <c r="F153" s="1" t="str">
        <f t="shared" si="37"/>
        <v>null,</v>
      </c>
      <c r="G153" s="1" t="s">
        <v>207</v>
      </c>
      <c r="H153" s="1" t="str">
        <f t="shared" si="38"/>
        <v>true,</v>
      </c>
      <c r="I153" s="1" t="str">
        <f t="shared" si="39"/>
        <v>false,</v>
      </c>
      <c r="J153" s="1" t="str">
        <f t="shared" si="40"/>
        <v>null,</v>
      </c>
      <c r="K153" s="1" t="str">
        <f t="shared" si="41"/>
        <v>null</v>
      </c>
      <c r="L153" s="6"/>
      <c r="M153" s="10" t="str">
        <f>_xlfn.TEXTJOIN("=",FALSE,A$2,A153)</f>
        <v>Id=151,</v>
      </c>
      <c r="N153" s="10" t="str">
        <f>_xlfn.TEXTJOIN("=",FALSE,B$2,B153)</f>
        <v>Title="لسوتو",</v>
      </c>
      <c r="O153" s="10" t="str">
        <f>_xlfn.TEXTJOIN("=",FALSE,C$2,C153)</f>
        <v>ParentId=null,</v>
      </c>
      <c r="P153" s="10" t="str">
        <f>_xlfn.TEXTJOIN("=",FALSE,D$2,D153)</f>
        <v>Guid=Guid.Parse("F90E7090-D304-4DDC-A622-C255FF735B2E"),</v>
      </c>
      <c r="Q153" s="10" t="str">
        <f t="shared" ca="1" si="42"/>
        <v>CreatedDate=new DateTime (2026,3,25,4,26,24),</v>
      </c>
      <c r="R153" s="10" t="str">
        <f t="shared" si="43"/>
        <v>CreatedUserId=null,</v>
      </c>
      <c r="S153" s="10" t="str">
        <f t="shared" si="44"/>
        <v>Description= "Created by seeding data",</v>
      </c>
      <c r="T153" s="10" t="str">
        <f t="shared" si="45"/>
        <v>IsActive=true,</v>
      </c>
      <c r="U153" s="10" t="str">
        <f t="shared" si="46"/>
        <v>IsDeleted=false,</v>
      </c>
      <c r="V153" s="10" t="str">
        <f t="shared" si="47"/>
        <v>LastModifiedDate=null,</v>
      </c>
      <c r="W153" s="10" t="str">
        <f t="shared" si="48"/>
        <v>LastModifiedUserId=null</v>
      </c>
      <c r="X153" s="9" t="str">
        <f t="shared" ca="1" si="49"/>
        <v>Id=151,Title="لسوتو",ParentId=null,Guid=Guid.Parse("F90E7090-D304-4DDC-A622-C255FF735B2E"),CreatedDate=new DateTime (2026,3,25,4,26,24),CreatedUserId=null,Description= "Created by seeding data",IsActive=true,IsDeleted=false,LastModifiedDate=null,LastModifiedUserId=null</v>
      </c>
      <c r="Y153" s="9" t="str">
        <f t="shared" ca="1" si="50"/>
        <v>new State{Id=151,Title="لسوتو",ParentId=null,Guid=Guid.Parse("F90E7090-D304-4DDC-A622-C255FF735B2E"),CreatedDate=new DateTime (2026,3,25,4,26,24),CreatedUserId=null,Description= "Created by seeding data",IsActive=true,IsDeleted=false,LastModifiedDate=null,LastModifiedUserId=null},</v>
      </c>
    </row>
    <row r="154" spans="1:25" x14ac:dyDescent="0.5">
      <c r="A154" s="1" t="str">
        <f t="shared" si="34"/>
        <v>152,</v>
      </c>
      <c r="B154" s="1" t="s">
        <v>163</v>
      </c>
      <c r="C154" s="1" t="str">
        <f t="shared" si="35"/>
        <v>null,</v>
      </c>
      <c r="D154" s="1" t="s">
        <v>359</v>
      </c>
      <c r="E154" s="1" t="str">
        <f t="shared" ca="1" si="36"/>
        <v>new DateTime (2026,3,25,4,26,24),</v>
      </c>
      <c r="F154" s="1" t="str">
        <f t="shared" si="37"/>
        <v>null,</v>
      </c>
      <c r="G154" s="1" t="s">
        <v>207</v>
      </c>
      <c r="H154" s="1" t="str">
        <f t="shared" si="38"/>
        <v>true,</v>
      </c>
      <c r="I154" s="1" t="str">
        <f t="shared" si="39"/>
        <v>false,</v>
      </c>
      <c r="J154" s="1" t="str">
        <f t="shared" si="40"/>
        <v>null,</v>
      </c>
      <c r="K154" s="1" t="str">
        <f t="shared" si="41"/>
        <v>null</v>
      </c>
      <c r="L154" s="6"/>
      <c r="M154" s="10" t="str">
        <f>_xlfn.TEXTJOIN("=",FALSE,A$2,A154)</f>
        <v>Id=152,</v>
      </c>
      <c r="N154" s="10" t="str">
        <f>_xlfn.TEXTJOIN("=",FALSE,B$2,B154)</f>
        <v>Title="لهستان",</v>
      </c>
      <c r="O154" s="10" t="str">
        <f>_xlfn.TEXTJOIN("=",FALSE,C$2,C154)</f>
        <v>ParentId=null,</v>
      </c>
      <c r="P154" s="10" t="str">
        <f>_xlfn.TEXTJOIN("=",FALSE,D$2,D154)</f>
        <v>Guid=Guid.Parse("C6051F9B-1BB8-4A49-B97A-CC346CE14102"),</v>
      </c>
      <c r="Q154" s="10" t="str">
        <f t="shared" ca="1" si="42"/>
        <v>CreatedDate=new DateTime (2026,3,25,4,26,24),</v>
      </c>
      <c r="R154" s="10" t="str">
        <f t="shared" si="43"/>
        <v>CreatedUserId=null,</v>
      </c>
      <c r="S154" s="10" t="str">
        <f t="shared" si="44"/>
        <v>Description= "Created by seeding data",</v>
      </c>
      <c r="T154" s="10" t="str">
        <f t="shared" si="45"/>
        <v>IsActive=true,</v>
      </c>
      <c r="U154" s="10" t="str">
        <f t="shared" si="46"/>
        <v>IsDeleted=false,</v>
      </c>
      <c r="V154" s="10" t="str">
        <f t="shared" si="47"/>
        <v>LastModifiedDate=null,</v>
      </c>
      <c r="W154" s="10" t="str">
        <f t="shared" si="48"/>
        <v>LastModifiedUserId=null</v>
      </c>
      <c r="X154" s="9" t="str">
        <f t="shared" ca="1" si="49"/>
        <v>Id=152,Title="لهستان",ParentId=null,Guid=Guid.Parse("C6051F9B-1BB8-4A49-B97A-CC346CE14102"),CreatedDate=new DateTime (2026,3,25,4,26,24),CreatedUserId=null,Description= "Created by seeding data",IsActive=true,IsDeleted=false,LastModifiedDate=null,LastModifiedUserId=null</v>
      </c>
      <c r="Y154" s="9" t="str">
        <f t="shared" ca="1" si="50"/>
        <v>new State{Id=152,Title="لهستان",ParentId=null,Guid=Guid.Parse("C6051F9B-1BB8-4A49-B97A-CC346CE14102"),CreatedDate=new DateTime (2026,3,25,4,26,24),CreatedUserId=null,Description= "Created by seeding data",IsActive=true,IsDeleted=false,LastModifiedDate=null,LastModifiedUserId=null},</v>
      </c>
    </row>
    <row r="155" spans="1:25" x14ac:dyDescent="0.5">
      <c r="A155" s="1" t="str">
        <f t="shared" si="34"/>
        <v>153,</v>
      </c>
      <c r="B155" s="1" t="s">
        <v>164</v>
      </c>
      <c r="C155" s="1" t="str">
        <f t="shared" si="35"/>
        <v>null,</v>
      </c>
      <c r="D155" s="1" t="s">
        <v>360</v>
      </c>
      <c r="E155" s="1" t="str">
        <f t="shared" ca="1" si="36"/>
        <v>new DateTime (2026,3,25,4,26,24),</v>
      </c>
      <c r="F155" s="1" t="str">
        <f t="shared" si="37"/>
        <v>null,</v>
      </c>
      <c r="G155" s="1" t="s">
        <v>207</v>
      </c>
      <c r="H155" s="1" t="str">
        <f t="shared" si="38"/>
        <v>true,</v>
      </c>
      <c r="I155" s="1" t="str">
        <f t="shared" si="39"/>
        <v>false,</v>
      </c>
      <c r="J155" s="1" t="str">
        <f t="shared" si="40"/>
        <v>null,</v>
      </c>
      <c r="K155" s="1" t="str">
        <f t="shared" si="41"/>
        <v>null</v>
      </c>
      <c r="L155" s="6"/>
      <c r="M155" s="10" t="str">
        <f>_xlfn.TEXTJOIN("=",FALSE,A$2,A155)</f>
        <v>Id=153,</v>
      </c>
      <c r="N155" s="10" t="str">
        <f>_xlfn.TEXTJOIN("=",FALSE,B$2,B155)</f>
        <v>Title="لوکزامبورگ",</v>
      </c>
      <c r="O155" s="10" t="str">
        <f>_xlfn.TEXTJOIN("=",FALSE,C$2,C155)</f>
        <v>ParentId=null,</v>
      </c>
      <c r="P155" s="10" t="str">
        <f>_xlfn.TEXTJOIN("=",FALSE,D$2,D155)</f>
        <v>Guid=Guid.Parse("64E1ED61-2EFA-480D-8302-4CCDB5833C4E"),</v>
      </c>
      <c r="Q155" s="10" t="str">
        <f t="shared" ca="1" si="42"/>
        <v>CreatedDate=new DateTime (2026,3,25,4,26,24),</v>
      </c>
      <c r="R155" s="10" t="str">
        <f t="shared" si="43"/>
        <v>CreatedUserId=null,</v>
      </c>
      <c r="S155" s="10" t="str">
        <f t="shared" si="44"/>
        <v>Description= "Created by seeding data",</v>
      </c>
      <c r="T155" s="10" t="str">
        <f t="shared" si="45"/>
        <v>IsActive=true,</v>
      </c>
      <c r="U155" s="10" t="str">
        <f t="shared" si="46"/>
        <v>IsDeleted=false,</v>
      </c>
      <c r="V155" s="10" t="str">
        <f t="shared" si="47"/>
        <v>LastModifiedDate=null,</v>
      </c>
      <c r="W155" s="10" t="str">
        <f t="shared" si="48"/>
        <v>LastModifiedUserId=null</v>
      </c>
      <c r="X155" s="9" t="str">
        <f t="shared" ca="1" si="49"/>
        <v>Id=153,Title="لوکزامبورگ",ParentId=null,Guid=Guid.Parse("64E1ED61-2EFA-480D-8302-4CCDB5833C4E"),CreatedDate=new DateTime (2026,3,25,4,26,24),CreatedUserId=null,Description= "Created by seeding data",IsActive=true,IsDeleted=false,LastModifiedDate=null,LastModifiedUserId=null</v>
      </c>
      <c r="Y155" s="9" t="str">
        <f t="shared" ca="1" si="50"/>
        <v>new State{Id=153,Title="لوکزامبورگ",ParentId=null,Guid=Guid.Parse("64E1ED61-2EFA-480D-8302-4CCDB5833C4E"),CreatedDate=new DateTime (2026,3,25,4,26,24),CreatedUserId=null,Description= "Created by seeding data",IsActive=true,IsDeleted=false,LastModifiedDate=null,LastModifiedUserId=null},</v>
      </c>
    </row>
    <row r="156" spans="1:25" x14ac:dyDescent="0.5">
      <c r="A156" s="1" t="str">
        <f t="shared" si="34"/>
        <v>154,</v>
      </c>
      <c r="B156" s="1" t="s">
        <v>165</v>
      </c>
      <c r="C156" s="1" t="str">
        <f t="shared" si="35"/>
        <v>null,</v>
      </c>
      <c r="D156" s="1" t="s">
        <v>361</v>
      </c>
      <c r="E156" s="1" t="str">
        <f t="shared" ca="1" si="36"/>
        <v>new DateTime (2026,3,25,4,26,24),</v>
      </c>
      <c r="F156" s="1" t="str">
        <f t="shared" si="37"/>
        <v>null,</v>
      </c>
      <c r="G156" s="1" t="s">
        <v>207</v>
      </c>
      <c r="H156" s="1" t="str">
        <f t="shared" si="38"/>
        <v>true,</v>
      </c>
      <c r="I156" s="1" t="str">
        <f t="shared" si="39"/>
        <v>false,</v>
      </c>
      <c r="J156" s="1" t="str">
        <f t="shared" si="40"/>
        <v>null,</v>
      </c>
      <c r="K156" s="1" t="str">
        <f t="shared" si="41"/>
        <v>null</v>
      </c>
      <c r="L156" s="6"/>
      <c r="M156" s="10" t="str">
        <f>_xlfn.TEXTJOIN("=",FALSE,A$2,A156)</f>
        <v>Id=154,</v>
      </c>
      <c r="N156" s="10" t="str">
        <f>_xlfn.TEXTJOIN("=",FALSE,B$2,B156)</f>
        <v>Title="لیبریا",</v>
      </c>
      <c r="O156" s="10" t="str">
        <f>_xlfn.TEXTJOIN("=",FALSE,C$2,C156)</f>
        <v>ParentId=null,</v>
      </c>
      <c r="P156" s="10" t="str">
        <f>_xlfn.TEXTJOIN("=",FALSE,D$2,D156)</f>
        <v>Guid=Guid.Parse("352842C2-F915-4DD8-919A-655127326F35"),</v>
      </c>
      <c r="Q156" s="10" t="str">
        <f t="shared" ca="1" si="42"/>
        <v>CreatedDate=new DateTime (2026,3,25,4,26,24),</v>
      </c>
      <c r="R156" s="10" t="str">
        <f t="shared" si="43"/>
        <v>CreatedUserId=null,</v>
      </c>
      <c r="S156" s="10" t="str">
        <f t="shared" si="44"/>
        <v>Description= "Created by seeding data",</v>
      </c>
      <c r="T156" s="10" t="str">
        <f t="shared" si="45"/>
        <v>IsActive=true,</v>
      </c>
      <c r="U156" s="10" t="str">
        <f t="shared" si="46"/>
        <v>IsDeleted=false,</v>
      </c>
      <c r="V156" s="10" t="str">
        <f t="shared" si="47"/>
        <v>LastModifiedDate=null,</v>
      </c>
      <c r="W156" s="10" t="str">
        <f t="shared" si="48"/>
        <v>LastModifiedUserId=null</v>
      </c>
      <c r="X156" s="9" t="str">
        <f t="shared" ca="1" si="49"/>
        <v>Id=154,Title="لیبریا",ParentId=null,Guid=Guid.Parse("352842C2-F915-4DD8-919A-655127326F35"),CreatedDate=new DateTime (2026,3,25,4,26,24),CreatedUserId=null,Description= "Created by seeding data",IsActive=true,IsDeleted=false,LastModifiedDate=null,LastModifiedUserId=null</v>
      </c>
      <c r="Y156" s="9" t="str">
        <f t="shared" ca="1" si="50"/>
        <v>new State{Id=154,Title="لیبریا",ParentId=null,Guid=Guid.Parse("352842C2-F915-4DD8-919A-655127326F35"),CreatedDate=new DateTime (2026,3,25,4,26,24),CreatedUserId=null,Description= "Created by seeding data",IsActive=true,IsDeleted=false,LastModifiedDate=null,LastModifiedUserId=null},</v>
      </c>
    </row>
    <row r="157" spans="1:25" x14ac:dyDescent="0.5">
      <c r="A157" s="1" t="str">
        <f t="shared" si="34"/>
        <v>155,</v>
      </c>
      <c r="B157" s="1" t="s">
        <v>166</v>
      </c>
      <c r="C157" s="1" t="str">
        <f t="shared" si="35"/>
        <v>null,</v>
      </c>
      <c r="D157" s="1" t="s">
        <v>362</v>
      </c>
      <c r="E157" s="1" t="str">
        <f t="shared" ca="1" si="36"/>
        <v>new DateTime (2026,3,25,4,26,24),</v>
      </c>
      <c r="F157" s="1" t="str">
        <f t="shared" si="37"/>
        <v>null,</v>
      </c>
      <c r="G157" s="1" t="s">
        <v>207</v>
      </c>
      <c r="H157" s="1" t="str">
        <f t="shared" si="38"/>
        <v>true,</v>
      </c>
      <c r="I157" s="1" t="str">
        <f t="shared" si="39"/>
        <v>false,</v>
      </c>
      <c r="J157" s="1" t="str">
        <f t="shared" si="40"/>
        <v>null,</v>
      </c>
      <c r="K157" s="1" t="str">
        <f t="shared" si="41"/>
        <v>null</v>
      </c>
      <c r="L157" s="6"/>
      <c r="M157" s="10" t="str">
        <f>_xlfn.TEXTJOIN("=",FALSE,A$2,A157)</f>
        <v>Id=155,</v>
      </c>
      <c r="N157" s="10" t="str">
        <f>_xlfn.TEXTJOIN("=",FALSE,B$2,B157)</f>
        <v>Title="لیبی",</v>
      </c>
      <c r="O157" s="10" t="str">
        <f>_xlfn.TEXTJOIN("=",FALSE,C$2,C157)</f>
        <v>ParentId=null,</v>
      </c>
      <c r="P157" s="10" t="str">
        <f>_xlfn.TEXTJOIN("=",FALSE,D$2,D157)</f>
        <v>Guid=Guid.Parse("C86B6877-10C5-403B-A286-C98E3EF1FAC6"),</v>
      </c>
      <c r="Q157" s="10" t="str">
        <f t="shared" ca="1" si="42"/>
        <v>CreatedDate=new DateTime (2026,3,25,4,26,24),</v>
      </c>
      <c r="R157" s="10" t="str">
        <f t="shared" si="43"/>
        <v>CreatedUserId=null,</v>
      </c>
      <c r="S157" s="10" t="str">
        <f t="shared" si="44"/>
        <v>Description= "Created by seeding data",</v>
      </c>
      <c r="T157" s="10" t="str">
        <f t="shared" si="45"/>
        <v>IsActive=true,</v>
      </c>
      <c r="U157" s="10" t="str">
        <f t="shared" si="46"/>
        <v>IsDeleted=false,</v>
      </c>
      <c r="V157" s="10" t="str">
        <f t="shared" si="47"/>
        <v>LastModifiedDate=null,</v>
      </c>
      <c r="W157" s="10" t="str">
        <f t="shared" si="48"/>
        <v>LastModifiedUserId=null</v>
      </c>
      <c r="X157" s="9" t="str">
        <f t="shared" ca="1" si="49"/>
        <v>Id=155,Title="لیبی",ParentId=null,Guid=Guid.Parse("C86B6877-10C5-403B-A286-C98E3EF1FAC6"),CreatedDate=new DateTime (2026,3,25,4,26,24),CreatedUserId=null,Description= "Created by seeding data",IsActive=true,IsDeleted=false,LastModifiedDate=null,LastModifiedUserId=null</v>
      </c>
      <c r="Y157" s="9" t="str">
        <f t="shared" ca="1" si="50"/>
        <v>new State{Id=155,Title="لیبی",ParentId=null,Guid=Guid.Parse("C86B6877-10C5-403B-A286-C98E3EF1FAC6"),CreatedDate=new DateTime (2026,3,25,4,26,24),CreatedUserId=null,Description= "Created by seeding data",IsActive=true,IsDeleted=false,LastModifiedDate=null,LastModifiedUserId=null},</v>
      </c>
    </row>
    <row r="158" spans="1:25" x14ac:dyDescent="0.5">
      <c r="A158" s="1" t="str">
        <f t="shared" si="34"/>
        <v>156,</v>
      </c>
      <c r="B158" s="1" t="s">
        <v>167</v>
      </c>
      <c r="C158" s="1" t="str">
        <f t="shared" si="35"/>
        <v>null,</v>
      </c>
      <c r="D158" s="1" t="s">
        <v>363</v>
      </c>
      <c r="E158" s="1" t="str">
        <f t="shared" ca="1" si="36"/>
        <v>new DateTime (2026,3,25,4,26,24),</v>
      </c>
      <c r="F158" s="1" t="str">
        <f t="shared" si="37"/>
        <v>null,</v>
      </c>
      <c r="G158" s="1" t="s">
        <v>207</v>
      </c>
      <c r="H158" s="1" t="str">
        <f t="shared" si="38"/>
        <v>true,</v>
      </c>
      <c r="I158" s="1" t="str">
        <f t="shared" si="39"/>
        <v>false,</v>
      </c>
      <c r="J158" s="1" t="str">
        <f t="shared" si="40"/>
        <v>null,</v>
      </c>
      <c r="K158" s="1" t="str">
        <f t="shared" si="41"/>
        <v>null</v>
      </c>
      <c r="L158" s="6"/>
      <c r="M158" s="10" t="str">
        <f>_xlfn.TEXTJOIN("=",FALSE,A$2,A158)</f>
        <v>Id=156,</v>
      </c>
      <c r="N158" s="10" t="str">
        <f>_xlfn.TEXTJOIN("=",FALSE,B$2,B158)</f>
        <v>Title="لیتوانی",</v>
      </c>
      <c r="O158" s="10" t="str">
        <f>_xlfn.TEXTJOIN("=",FALSE,C$2,C158)</f>
        <v>ParentId=null,</v>
      </c>
      <c r="P158" s="10" t="str">
        <f>_xlfn.TEXTJOIN("=",FALSE,D$2,D158)</f>
        <v>Guid=Guid.Parse("EA2B5B80-9798-4E65-96B7-FF722F3562A5"),</v>
      </c>
      <c r="Q158" s="10" t="str">
        <f t="shared" ca="1" si="42"/>
        <v>CreatedDate=new DateTime (2026,3,25,4,26,24),</v>
      </c>
      <c r="R158" s="10" t="str">
        <f t="shared" si="43"/>
        <v>CreatedUserId=null,</v>
      </c>
      <c r="S158" s="10" t="str">
        <f t="shared" si="44"/>
        <v>Description= "Created by seeding data",</v>
      </c>
      <c r="T158" s="10" t="str">
        <f t="shared" si="45"/>
        <v>IsActive=true,</v>
      </c>
      <c r="U158" s="10" t="str">
        <f t="shared" si="46"/>
        <v>IsDeleted=false,</v>
      </c>
      <c r="V158" s="10" t="str">
        <f t="shared" si="47"/>
        <v>LastModifiedDate=null,</v>
      </c>
      <c r="W158" s="10" t="str">
        <f t="shared" si="48"/>
        <v>LastModifiedUserId=null</v>
      </c>
      <c r="X158" s="9" t="str">
        <f t="shared" ca="1" si="49"/>
        <v>Id=156,Title="لیتوانی",ParentId=null,Guid=Guid.Parse("EA2B5B80-9798-4E65-96B7-FF722F3562A5"),CreatedDate=new DateTime (2026,3,25,4,26,24),CreatedUserId=null,Description= "Created by seeding data",IsActive=true,IsDeleted=false,LastModifiedDate=null,LastModifiedUserId=null</v>
      </c>
      <c r="Y158" s="9" t="str">
        <f t="shared" ca="1" si="50"/>
        <v>new State{Id=156,Title="لیتوانی",ParentId=null,Guid=Guid.Parse("EA2B5B80-9798-4E65-96B7-FF722F3562A5"),CreatedDate=new DateTime (2026,3,25,4,26,24),CreatedUserId=null,Description= "Created by seeding data",IsActive=true,IsDeleted=false,LastModifiedDate=null,LastModifiedUserId=null},</v>
      </c>
    </row>
    <row r="159" spans="1:25" x14ac:dyDescent="0.5">
      <c r="A159" s="1" t="str">
        <f t="shared" si="34"/>
        <v>157,</v>
      </c>
      <c r="B159" s="1" t="s">
        <v>168</v>
      </c>
      <c r="C159" s="1" t="str">
        <f t="shared" si="35"/>
        <v>null,</v>
      </c>
      <c r="D159" s="1" t="s">
        <v>364</v>
      </c>
      <c r="E159" s="1" t="str">
        <f t="shared" ca="1" si="36"/>
        <v>new DateTime (2026,3,25,4,26,24),</v>
      </c>
      <c r="F159" s="1" t="str">
        <f t="shared" si="37"/>
        <v>null,</v>
      </c>
      <c r="G159" s="1" t="s">
        <v>207</v>
      </c>
      <c r="H159" s="1" t="str">
        <f t="shared" si="38"/>
        <v>true,</v>
      </c>
      <c r="I159" s="1" t="str">
        <f t="shared" si="39"/>
        <v>false,</v>
      </c>
      <c r="J159" s="1" t="str">
        <f t="shared" si="40"/>
        <v>null,</v>
      </c>
      <c r="K159" s="1" t="str">
        <f t="shared" si="41"/>
        <v>null</v>
      </c>
      <c r="L159" s="6"/>
      <c r="M159" s="10" t="str">
        <f>_xlfn.TEXTJOIN("=",FALSE,A$2,A159)</f>
        <v>Id=157,</v>
      </c>
      <c r="N159" s="10" t="str">
        <f>_xlfn.TEXTJOIN("=",FALSE,B$2,B159)</f>
        <v>Title="لیختن‌اشتاین",</v>
      </c>
      <c r="O159" s="10" t="str">
        <f>_xlfn.TEXTJOIN("=",FALSE,C$2,C159)</f>
        <v>ParentId=null,</v>
      </c>
      <c r="P159" s="10" t="str">
        <f>_xlfn.TEXTJOIN("=",FALSE,D$2,D159)</f>
        <v>Guid=Guid.Parse("FD4AFF57-E630-48F3-9C2A-3F622261A0BF"),</v>
      </c>
      <c r="Q159" s="10" t="str">
        <f t="shared" ca="1" si="42"/>
        <v>CreatedDate=new DateTime (2026,3,25,4,26,24),</v>
      </c>
      <c r="R159" s="10" t="str">
        <f t="shared" si="43"/>
        <v>CreatedUserId=null,</v>
      </c>
      <c r="S159" s="10" t="str">
        <f t="shared" si="44"/>
        <v>Description= "Created by seeding data",</v>
      </c>
      <c r="T159" s="10" t="str">
        <f t="shared" si="45"/>
        <v>IsActive=true,</v>
      </c>
      <c r="U159" s="10" t="str">
        <f t="shared" si="46"/>
        <v>IsDeleted=false,</v>
      </c>
      <c r="V159" s="10" t="str">
        <f t="shared" si="47"/>
        <v>LastModifiedDate=null,</v>
      </c>
      <c r="W159" s="10" t="str">
        <f t="shared" si="48"/>
        <v>LastModifiedUserId=null</v>
      </c>
      <c r="X159" s="9" t="str">
        <f t="shared" ca="1" si="49"/>
        <v>Id=157,Title="لیختن‌اشتاین",ParentId=null,Guid=Guid.Parse("FD4AFF57-E630-48F3-9C2A-3F622261A0BF"),CreatedDate=new DateTime (2026,3,25,4,26,24),CreatedUserId=null,Description= "Created by seeding data",IsActive=true,IsDeleted=false,LastModifiedDate=null,LastModifiedUserId=null</v>
      </c>
      <c r="Y159" s="9" t="str">
        <f t="shared" ca="1" si="50"/>
        <v>new State{Id=157,Title="لیختن‌اشتاین",ParentId=null,Guid=Guid.Parse("FD4AFF57-E630-48F3-9C2A-3F622261A0BF"),CreatedDate=new DateTime (2026,3,25,4,26,24),CreatedUserId=null,Description= "Created by seeding data",IsActive=true,IsDeleted=false,LastModifiedDate=null,LastModifiedUserId=null},</v>
      </c>
    </row>
    <row r="160" spans="1:25" x14ac:dyDescent="0.5">
      <c r="A160" s="1" t="str">
        <f t="shared" si="34"/>
        <v>158,</v>
      </c>
      <c r="B160" s="1" t="s">
        <v>169</v>
      </c>
      <c r="C160" s="1" t="str">
        <f t="shared" si="35"/>
        <v>null,</v>
      </c>
      <c r="D160" s="1" t="s">
        <v>365</v>
      </c>
      <c r="E160" s="1" t="str">
        <f t="shared" ca="1" si="36"/>
        <v>new DateTime (2026,3,25,4,26,24),</v>
      </c>
      <c r="F160" s="1" t="str">
        <f t="shared" si="37"/>
        <v>null,</v>
      </c>
      <c r="G160" s="1" t="s">
        <v>207</v>
      </c>
      <c r="H160" s="1" t="str">
        <f t="shared" si="38"/>
        <v>true,</v>
      </c>
      <c r="I160" s="1" t="str">
        <f t="shared" si="39"/>
        <v>false,</v>
      </c>
      <c r="J160" s="1" t="str">
        <f t="shared" si="40"/>
        <v>null,</v>
      </c>
      <c r="K160" s="1" t="str">
        <f t="shared" si="41"/>
        <v>null</v>
      </c>
      <c r="L160" s="6"/>
      <c r="M160" s="10" t="str">
        <f>_xlfn.TEXTJOIN("=",FALSE,A$2,A160)</f>
        <v>Id=158,</v>
      </c>
      <c r="N160" s="10" t="str">
        <f>_xlfn.TEXTJOIN("=",FALSE,B$2,B160)</f>
        <v>Title="ماداگاسکار",</v>
      </c>
      <c r="O160" s="10" t="str">
        <f>_xlfn.TEXTJOIN("=",FALSE,C$2,C160)</f>
        <v>ParentId=null,</v>
      </c>
      <c r="P160" s="10" t="str">
        <f>_xlfn.TEXTJOIN("=",FALSE,D$2,D160)</f>
        <v>Guid=Guid.Parse("B88E6B8F-3748-4B35-BF75-7F3DEC64D733"),</v>
      </c>
      <c r="Q160" s="10" t="str">
        <f t="shared" ca="1" si="42"/>
        <v>CreatedDate=new DateTime (2026,3,25,4,26,24),</v>
      </c>
      <c r="R160" s="10" t="str">
        <f t="shared" si="43"/>
        <v>CreatedUserId=null,</v>
      </c>
      <c r="S160" s="10" t="str">
        <f t="shared" si="44"/>
        <v>Description= "Created by seeding data",</v>
      </c>
      <c r="T160" s="10" t="str">
        <f t="shared" si="45"/>
        <v>IsActive=true,</v>
      </c>
      <c r="U160" s="10" t="str">
        <f t="shared" si="46"/>
        <v>IsDeleted=false,</v>
      </c>
      <c r="V160" s="10" t="str">
        <f t="shared" si="47"/>
        <v>LastModifiedDate=null,</v>
      </c>
      <c r="W160" s="10" t="str">
        <f t="shared" si="48"/>
        <v>LastModifiedUserId=null</v>
      </c>
      <c r="X160" s="9" t="str">
        <f t="shared" ca="1" si="49"/>
        <v>Id=158,Title="ماداگاسکار",ParentId=null,Guid=Guid.Parse("B88E6B8F-3748-4B35-BF75-7F3DEC64D733"),CreatedDate=new DateTime (2026,3,25,4,26,24),CreatedUserId=null,Description= "Created by seeding data",IsActive=true,IsDeleted=false,LastModifiedDate=null,LastModifiedUserId=null</v>
      </c>
      <c r="Y160" s="9" t="str">
        <f t="shared" ca="1" si="50"/>
        <v>new State{Id=158,Title="ماداگاسکار",ParentId=null,Guid=Guid.Parse("B88E6B8F-3748-4B35-BF75-7F3DEC64D733"),CreatedDate=new DateTime (2026,3,25,4,26,24),CreatedUserId=null,Description= "Created by seeding data",IsActive=true,IsDeleted=false,LastModifiedDate=null,LastModifiedUserId=null},</v>
      </c>
    </row>
    <row r="161" spans="1:25" x14ac:dyDescent="0.5">
      <c r="A161" s="1" t="str">
        <f t="shared" si="34"/>
        <v>159,</v>
      </c>
      <c r="B161" s="1" t="s">
        <v>170</v>
      </c>
      <c r="C161" s="1" t="str">
        <f t="shared" si="35"/>
        <v>null,</v>
      </c>
      <c r="D161" s="1" t="s">
        <v>366</v>
      </c>
      <c r="E161" s="1" t="str">
        <f t="shared" ca="1" si="36"/>
        <v>new DateTime (2026,3,25,4,26,24),</v>
      </c>
      <c r="F161" s="1" t="str">
        <f t="shared" si="37"/>
        <v>null,</v>
      </c>
      <c r="G161" s="1" t="s">
        <v>207</v>
      </c>
      <c r="H161" s="1" t="str">
        <f t="shared" si="38"/>
        <v>true,</v>
      </c>
      <c r="I161" s="1" t="str">
        <f t="shared" si="39"/>
        <v>false,</v>
      </c>
      <c r="J161" s="1" t="str">
        <f t="shared" si="40"/>
        <v>null,</v>
      </c>
      <c r="K161" s="1" t="str">
        <f t="shared" si="41"/>
        <v>null</v>
      </c>
      <c r="L161" s="6"/>
      <c r="M161" s="10" t="str">
        <f>_xlfn.TEXTJOIN("=",FALSE,A$2,A161)</f>
        <v>Id=159,</v>
      </c>
      <c r="N161" s="10" t="str">
        <f>_xlfn.TEXTJOIN("=",FALSE,B$2,B161)</f>
        <v>Title="مالاوی",</v>
      </c>
      <c r="O161" s="10" t="str">
        <f>_xlfn.TEXTJOIN("=",FALSE,C$2,C161)</f>
        <v>ParentId=null,</v>
      </c>
      <c r="P161" s="10" t="str">
        <f>_xlfn.TEXTJOIN("=",FALSE,D$2,D161)</f>
        <v>Guid=Guid.Parse("B0BB9847-5596-45AE-A85B-F845ACE4B565"),</v>
      </c>
      <c r="Q161" s="10" t="str">
        <f t="shared" ca="1" si="42"/>
        <v>CreatedDate=new DateTime (2026,3,25,4,26,24),</v>
      </c>
      <c r="R161" s="10" t="str">
        <f t="shared" si="43"/>
        <v>CreatedUserId=null,</v>
      </c>
      <c r="S161" s="10" t="str">
        <f t="shared" si="44"/>
        <v>Description= "Created by seeding data",</v>
      </c>
      <c r="T161" s="10" t="str">
        <f t="shared" si="45"/>
        <v>IsActive=true,</v>
      </c>
      <c r="U161" s="10" t="str">
        <f t="shared" si="46"/>
        <v>IsDeleted=false,</v>
      </c>
      <c r="V161" s="10" t="str">
        <f t="shared" si="47"/>
        <v>LastModifiedDate=null,</v>
      </c>
      <c r="W161" s="10" t="str">
        <f t="shared" si="48"/>
        <v>LastModifiedUserId=null</v>
      </c>
      <c r="X161" s="9" t="str">
        <f t="shared" ca="1" si="49"/>
        <v>Id=159,Title="مالاوی",ParentId=null,Guid=Guid.Parse("B0BB9847-5596-45AE-A85B-F845ACE4B565"),CreatedDate=new DateTime (2026,3,25,4,26,24),CreatedUserId=null,Description= "Created by seeding data",IsActive=true,IsDeleted=false,LastModifiedDate=null,LastModifiedUserId=null</v>
      </c>
      <c r="Y161" s="9" t="str">
        <f t="shared" ca="1" si="50"/>
        <v>new State{Id=159,Title="مالاوی",ParentId=null,Guid=Guid.Parse("B0BB9847-5596-45AE-A85B-F845ACE4B565"),CreatedDate=new DateTime (2026,3,25,4,26,24),CreatedUserId=null,Description= "Created by seeding data",IsActive=true,IsDeleted=false,LastModifiedDate=null,LastModifiedUserId=null},</v>
      </c>
    </row>
    <row r="162" spans="1:25" x14ac:dyDescent="0.5">
      <c r="A162" s="1" t="str">
        <f t="shared" si="34"/>
        <v>160,</v>
      </c>
      <c r="B162" s="1" t="s">
        <v>171</v>
      </c>
      <c r="C162" s="1" t="str">
        <f t="shared" si="35"/>
        <v>null,</v>
      </c>
      <c r="D162" s="1" t="s">
        <v>367</v>
      </c>
      <c r="E162" s="1" t="str">
        <f t="shared" ca="1" si="36"/>
        <v>new DateTime (2026,3,25,4,26,24),</v>
      </c>
      <c r="F162" s="1" t="str">
        <f t="shared" si="37"/>
        <v>null,</v>
      </c>
      <c r="G162" s="1" t="s">
        <v>207</v>
      </c>
      <c r="H162" s="1" t="str">
        <f t="shared" si="38"/>
        <v>true,</v>
      </c>
      <c r="I162" s="1" t="str">
        <f t="shared" si="39"/>
        <v>false,</v>
      </c>
      <c r="J162" s="1" t="str">
        <f t="shared" si="40"/>
        <v>null,</v>
      </c>
      <c r="K162" s="1" t="str">
        <f t="shared" si="41"/>
        <v>null</v>
      </c>
      <c r="L162" s="6"/>
      <c r="M162" s="10" t="str">
        <f>_xlfn.TEXTJOIN("=",FALSE,A$2,A162)</f>
        <v>Id=160,</v>
      </c>
      <c r="N162" s="10" t="str">
        <f>_xlfn.TEXTJOIN("=",FALSE,B$2,B162)</f>
        <v>Title="مالت",</v>
      </c>
      <c r="O162" s="10" t="str">
        <f>_xlfn.TEXTJOIN("=",FALSE,C$2,C162)</f>
        <v>ParentId=null,</v>
      </c>
      <c r="P162" s="10" t="str">
        <f>_xlfn.TEXTJOIN("=",FALSE,D$2,D162)</f>
        <v>Guid=Guid.Parse("10F55935-B892-4A1A-BB92-48CC591AE490"),</v>
      </c>
      <c r="Q162" s="10" t="str">
        <f t="shared" ca="1" si="42"/>
        <v>CreatedDate=new DateTime (2026,3,25,4,26,24),</v>
      </c>
      <c r="R162" s="10" t="str">
        <f t="shared" si="43"/>
        <v>CreatedUserId=null,</v>
      </c>
      <c r="S162" s="10" t="str">
        <f t="shared" si="44"/>
        <v>Description= "Created by seeding data",</v>
      </c>
      <c r="T162" s="10" t="str">
        <f t="shared" si="45"/>
        <v>IsActive=true,</v>
      </c>
      <c r="U162" s="10" t="str">
        <f t="shared" si="46"/>
        <v>IsDeleted=false,</v>
      </c>
      <c r="V162" s="10" t="str">
        <f t="shared" si="47"/>
        <v>LastModifiedDate=null,</v>
      </c>
      <c r="W162" s="10" t="str">
        <f t="shared" si="48"/>
        <v>LastModifiedUserId=null</v>
      </c>
      <c r="X162" s="9" t="str">
        <f t="shared" ca="1" si="49"/>
        <v>Id=160,Title="مالت",ParentId=null,Guid=Guid.Parse("10F55935-B892-4A1A-BB92-48CC591AE490"),CreatedDate=new DateTime (2026,3,25,4,26,24),CreatedUserId=null,Description= "Created by seeding data",IsActive=true,IsDeleted=false,LastModifiedDate=null,LastModifiedUserId=null</v>
      </c>
      <c r="Y162" s="9" t="str">
        <f t="shared" ca="1" si="50"/>
        <v>new State{Id=160,Title="مالت",ParentId=null,Guid=Guid.Parse("10F55935-B892-4A1A-BB92-48CC591AE490"),CreatedDate=new DateTime (2026,3,25,4,26,24),CreatedUserId=null,Description= "Created by seeding data",IsActive=true,IsDeleted=false,LastModifiedDate=null,LastModifiedUserId=null},</v>
      </c>
    </row>
    <row r="163" spans="1:25" x14ac:dyDescent="0.5">
      <c r="A163" s="1" t="str">
        <f t="shared" si="34"/>
        <v>161,</v>
      </c>
      <c r="B163" s="1" t="s">
        <v>172</v>
      </c>
      <c r="C163" s="1" t="str">
        <f t="shared" si="35"/>
        <v>null,</v>
      </c>
      <c r="D163" s="1" t="s">
        <v>368</v>
      </c>
      <c r="E163" s="1" t="str">
        <f t="shared" ca="1" si="36"/>
        <v>new DateTime (2026,3,25,4,26,24),</v>
      </c>
      <c r="F163" s="1" t="str">
        <f t="shared" si="37"/>
        <v>null,</v>
      </c>
      <c r="G163" s="1" t="s">
        <v>207</v>
      </c>
      <c r="H163" s="1" t="str">
        <f t="shared" si="38"/>
        <v>true,</v>
      </c>
      <c r="I163" s="1" t="str">
        <f t="shared" si="39"/>
        <v>false,</v>
      </c>
      <c r="J163" s="1" t="str">
        <f t="shared" si="40"/>
        <v>null,</v>
      </c>
      <c r="K163" s="1" t="str">
        <f t="shared" si="41"/>
        <v>null</v>
      </c>
      <c r="L163" s="6"/>
      <c r="M163" s="10" t="str">
        <f>_xlfn.TEXTJOIN("=",FALSE,A$2,A163)</f>
        <v>Id=161,</v>
      </c>
      <c r="N163" s="10" t="str">
        <f>_xlfn.TEXTJOIN("=",FALSE,B$2,B163)</f>
        <v>Title="مالدیو",</v>
      </c>
      <c r="O163" s="10" t="str">
        <f>_xlfn.TEXTJOIN("=",FALSE,C$2,C163)</f>
        <v>ParentId=null,</v>
      </c>
      <c r="P163" s="10" t="str">
        <f>_xlfn.TEXTJOIN("=",FALSE,D$2,D163)</f>
        <v>Guid=Guid.Parse("35E36402-8E14-43C1-BCAD-6DEEDF8A4C10"),</v>
      </c>
      <c r="Q163" s="10" t="str">
        <f t="shared" ca="1" si="42"/>
        <v>CreatedDate=new DateTime (2026,3,25,4,26,24),</v>
      </c>
      <c r="R163" s="10" t="str">
        <f t="shared" si="43"/>
        <v>CreatedUserId=null,</v>
      </c>
      <c r="S163" s="10" t="str">
        <f t="shared" si="44"/>
        <v>Description= "Created by seeding data",</v>
      </c>
      <c r="T163" s="10" t="str">
        <f t="shared" si="45"/>
        <v>IsActive=true,</v>
      </c>
      <c r="U163" s="10" t="str">
        <f t="shared" si="46"/>
        <v>IsDeleted=false,</v>
      </c>
      <c r="V163" s="10" t="str">
        <f t="shared" si="47"/>
        <v>LastModifiedDate=null,</v>
      </c>
      <c r="W163" s="10" t="str">
        <f t="shared" si="48"/>
        <v>LastModifiedUserId=null</v>
      </c>
      <c r="X163" s="9" t="str">
        <f t="shared" ca="1" si="49"/>
        <v>Id=161,Title="مالدیو",ParentId=null,Guid=Guid.Parse("35E36402-8E14-43C1-BCAD-6DEEDF8A4C10"),CreatedDate=new DateTime (2026,3,25,4,26,24),CreatedUserId=null,Description= "Created by seeding data",IsActive=true,IsDeleted=false,LastModifiedDate=null,LastModifiedUserId=null</v>
      </c>
      <c r="Y163" s="9" t="str">
        <f t="shared" ca="1" si="50"/>
        <v>new State{Id=161,Title="مالدیو",ParentId=null,Guid=Guid.Parse("35E36402-8E14-43C1-BCAD-6DEEDF8A4C10"),CreatedDate=new DateTime (2026,3,25,4,26,24),CreatedUserId=null,Description= "Created by seeding data",IsActive=true,IsDeleted=false,LastModifiedDate=null,LastModifiedUserId=null},</v>
      </c>
    </row>
    <row r="164" spans="1:25" x14ac:dyDescent="0.5">
      <c r="A164" s="1" t="str">
        <f t="shared" si="34"/>
        <v>162,</v>
      </c>
      <c r="B164" s="1" t="s">
        <v>173</v>
      </c>
      <c r="C164" s="1" t="str">
        <f t="shared" si="35"/>
        <v>null,</v>
      </c>
      <c r="D164" s="1" t="s">
        <v>369</v>
      </c>
      <c r="E164" s="1" t="str">
        <f t="shared" ca="1" si="36"/>
        <v>new DateTime (2026,3,25,4,26,24),</v>
      </c>
      <c r="F164" s="1" t="str">
        <f t="shared" si="37"/>
        <v>null,</v>
      </c>
      <c r="G164" s="1" t="s">
        <v>207</v>
      </c>
      <c r="H164" s="1" t="str">
        <f t="shared" si="38"/>
        <v>true,</v>
      </c>
      <c r="I164" s="1" t="str">
        <f t="shared" si="39"/>
        <v>false,</v>
      </c>
      <c r="J164" s="1" t="str">
        <f t="shared" si="40"/>
        <v>null,</v>
      </c>
      <c r="K164" s="1" t="str">
        <f t="shared" si="41"/>
        <v>null</v>
      </c>
      <c r="L164" s="6"/>
      <c r="M164" s="10" t="str">
        <f>_xlfn.TEXTJOIN("=",FALSE,A$2,A164)</f>
        <v>Id=162,</v>
      </c>
      <c r="N164" s="10" t="str">
        <f>_xlfn.TEXTJOIN("=",FALSE,B$2,B164)</f>
        <v>Title="مالزی",</v>
      </c>
      <c r="O164" s="10" t="str">
        <f>_xlfn.TEXTJOIN("=",FALSE,C$2,C164)</f>
        <v>ParentId=null,</v>
      </c>
      <c r="P164" s="10" t="str">
        <f>_xlfn.TEXTJOIN("=",FALSE,D$2,D164)</f>
        <v>Guid=Guid.Parse("99CA268A-E218-48B8-9569-E10D2E17E350"),</v>
      </c>
      <c r="Q164" s="10" t="str">
        <f t="shared" ca="1" si="42"/>
        <v>CreatedDate=new DateTime (2026,3,25,4,26,24),</v>
      </c>
      <c r="R164" s="10" t="str">
        <f t="shared" si="43"/>
        <v>CreatedUserId=null,</v>
      </c>
      <c r="S164" s="10" t="str">
        <f t="shared" si="44"/>
        <v>Description= "Created by seeding data",</v>
      </c>
      <c r="T164" s="10" t="str">
        <f t="shared" si="45"/>
        <v>IsActive=true,</v>
      </c>
      <c r="U164" s="10" t="str">
        <f t="shared" si="46"/>
        <v>IsDeleted=false,</v>
      </c>
      <c r="V164" s="10" t="str">
        <f t="shared" si="47"/>
        <v>LastModifiedDate=null,</v>
      </c>
      <c r="W164" s="10" t="str">
        <f t="shared" si="48"/>
        <v>LastModifiedUserId=null</v>
      </c>
      <c r="X164" s="9" t="str">
        <f t="shared" ca="1" si="49"/>
        <v>Id=162,Title="مالزی",ParentId=null,Guid=Guid.Parse("99CA268A-E218-48B8-9569-E10D2E17E350"),CreatedDate=new DateTime (2026,3,25,4,26,24),CreatedUserId=null,Description= "Created by seeding data",IsActive=true,IsDeleted=false,LastModifiedDate=null,LastModifiedUserId=null</v>
      </c>
      <c r="Y164" s="9" t="str">
        <f t="shared" ca="1" si="50"/>
        <v>new State{Id=162,Title="مالزی",ParentId=null,Guid=Guid.Parse("99CA268A-E218-48B8-9569-E10D2E17E350"),CreatedDate=new DateTime (2026,3,25,4,26,24),CreatedUserId=null,Description= "Created by seeding data",IsActive=true,IsDeleted=false,LastModifiedDate=null,LastModifiedUserId=null},</v>
      </c>
    </row>
    <row r="165" spans="1:25" x14ac:dyDescent="0.5">
      <c r="A165" s="1" t="str">
        <f t="shared" si="34"/>
        <v>163,</v>
      </c>
      <c r="B165" s="1" t="s">
        <v>174</v>
      </c>
      <c r="C165" s="1" t="str">
        <f t="shared" si="35"/>
        <v>null,</v>
      </c>
      <c r="D165" s="1" t="s">
        <v>370</v>
      </c>
      <c r="E165" s="1" t="str">
        <f t="shared" ca="1" si="36"/>
        <v>new DateTime (2026,3,25,4,26,24),</v>
      </c>
      <c r="F165" s="1" t="str">
        <f t="shared" si="37"/>
        <v>null,</v>
      </c>
      <c r="G165" s="1" t="s">
        <v>207</v>
      </c>
      <c r="H165" s="1" t="str">
        <f t="shared" si="38"/>
        <v>true,</v>
      </c>
      <c r="I165" s="1" t="str">
        <f t="shared" si="39"/>
        <v>false,</v>
      </c>
      <c r="J165" s="1" t="str">
        <f t="shared" si="40"/>
        <v>null,</v>
      </c>
      <c r="K165" s="1" t="str">
        <f t="shared" si="41"/>
        <v>null</v>
      </c>
      <c r="L165" s="6"/>
      <c r="M165" s="10" t="str">
        <f>_xlfn.TEXTJOIN("=",FALSE,A$2,A165)</f>
        <v>Id=163,</v>
      </c>
      <c r="N165" s="10" t="str">
        <f>_xlfn.TEXTJOIN("=",FALSE,B$2,B165)</f>
        <v>Title="مالی",</v>
      </c>
      <c r="O165" s="10" t="str">
        <f>_xlfn.TEXTJOIN("=",FALSE,C$2,C165)</f>
        <v>ParentId=null,</v>
      </c>
      <c r="P165" s="10" t="str">
        <f>_xlfn.TEXTJOIN("=",FALSE,D$2,D165)</f>
        <v>Guid=Guid.Parse("AC98441F-7076-4934-B16A-12D8FAD02368"),</v>
      </c>
      <c r="Q165" s="10" t="str">
        <f t="shared" ca="1" si="42"/>
        <v>CreatedDate=new DateTime (2026,3,25,4,26,24),</v>
      </c>
      <c r="R165" s="10" t="str">
        <f t="shared" si="43"/>
        <v>CreatedUserId=null,</v>
      </c>
      <c r="S165" s="10" t="str">
        <f t="shared" si="44"/>
        <v>Description= "Created by seeding data",</v>
      </c>
      <c r="T165" s="10" t="str">
        <f t="shared" si="45"/>
        <v>IsActive=true,</v>
      </c>
      <c r="U165" s="10" t="str">
        <f t="shared" si="46"/>
        <v>IsDeleted=false,</v>
      </c>
      <c r="V165" s="10" t="str">
        <f t="shared" si="47"/>
        <v>LastModifiedDate=null,</v>
      </c>
      <c r="W165" s="10" t="str">
        <f t="shared" si="48"/>
        <v>LastModifiedUserId=null</v>
      </c>
      <c r="X165" s="9" t="str">
        <f t="shared" ca="1" si="49"/>
        <v>Id=163,Title="مالی",ParentId=null,Guid=Guid.Parse("AC98441F-7076-4934-B16A-12D8FAD02368"),CreatedDate=new DateTime (2026,3,25,4,26,24),CreatedUserId=null,Description= "Created by seeding data",IsActive=true,IsDeleted=false,LastModifiedDate=null,LastModifiedUserId=null</v>
      </c>
      <c r="Y165" s="9" t="str">
        <f t="shared" ca="1" si="50"/>
        <v>new State{Id=163,Title="مالی",ParentId=null,Guid=Guid.Parse("AC98441F-7076-4934-B16A-12D8FAD02368"),CreatedDate=new DateTime (2026,3,25,4,26,24),CreatedUserId=null,Description= "Created by seeding data",IsActive=true,IsDeleted=false,LastModifiedDate=null,LastModifiedUserId=null},</v>
      </c>
    </row>
    <row r="166" spans="1:25" x14ac:dyDescent="0.5">
      <c r="A166" s="1" t="str">
        <f t="shared" si="34"/>
        <v>164,</v>
      </c>
      <c r="B166" s="1" t="s">
        <v>175</v>
      </c>
      <c r="C166" s="1" t="str">
        <f t="shared" si="35"/>
        <v>null,</v>
      </c>
      <c r="D166" s="1" t="s">
        <v>371</v>
      </c>
      <c r="E166" s="1" t="str">
        <f t="shared" ca="1" si="36"/>
        <v>new DateTime (2026,3,25,4,26,24),</v>
      </c>
      <c r="F166" s="1" t="str">
        <f t="shared" si="37"/>
        <v>null,</v>
      </c>
      <c r="G166" s="1" t="s">
        <v>207</v>
      </c>
      <c r="H166" s="1" t="str">
        <f t="shared" si="38"/>
        <v>true,</v>
      </c>
      <c r="I166" s="1" t="str">
        <f t="shared" si="39"/>
        <v>false,</v>
      </c>
      <c r="J166" s="1" t="str">
        <f t="shared" si="40"/>
        <v>null,</v>
      </c>
      <c r="K166" s="1" t="str">
        <f t="shared" si="41"/>
        <v>null</v>
      </c>
      <c r="L166" s="6"/>
      <c r="M166" s="10" t="str">
        <f>_xlfn.TEXTJOIN("=",FALSE,A$2,A166)</f>
        <v>Id=164,</v>
      </c>
      <c r="N166" s="10" t="str">
        <f>_xlfn.TEXTJOIN("=",FALSE,B$2,B166)</f>
        <v>Title="مجارستان",</v>
      </c>
      <c r="O166" s="10" t="str">
        <f>_xlfn.TEXTJOIN("=",FALSE,C$2,C166)</f>
        <v>ParentId=null,</v>
      </c>
      <c r="P166" s="10" t="str">
        <f>_xlfn.TEXTJOIN("=",FALSE,D$2,D166)</f>
        <v>Guid=Guid.Parse("24F095F4-B678-4292-BC77-03AE0FC545B9"),</v>
      </c>
      <c r="Q166" s="10" t="str">
        <f t="shared" ca="1" si="42"/>
        <v>CreatedDate=new DateTime (2026,3,25,4,26,24),</v>
      </c>
      <c r="R166" s="10" t="str">
        <f t="shared" si="43"/>
        <v>CreatedUserId=null,</v>
      </c>
      <c r="S166" s="10" t="str">
        <f t="shared" si="44"/>
        <v>Description= "Created by seeding data",</v>
      </c>
      <c r="T166" s="10" t="str">
        <f t="shared" si="45"/>
        <v>IsActive=true,</v>
      </c>
      <c r="U166" s="10" t="str">
        <f t="shared" si="46"/>
        <v>IsDeleted=false,</v>
      </c>
      <c r="V166" s="10" t="str">
        <f t="shared" si="47"/>
        <v>LastModifiedDate=null,</v>
      </c>
      <c r="W166" s="10" t="str">
        <f t="shared" si="48"/>
        <v>LastModifiedUserId=null</v>
      </c>
      <c r="X166" s="9" t="str">
        <f t="shared" ca="1" si="49"/>
        <v>Id=164,Title="مجارستان",ParentId=null,Guid=Guid.Parse("24F095F4-B678-4292-BC77-03AE0FC545B9"),CreatedDate=new DateTime (2026,3,25,4,26,24),CreatedUserId=null,Description= "Created by seeding data",IsActive=true,IsDeleted=false,LastModifiedDate=null,LastModifiedUserId=null</v>
      </c>
      <c r="Y166" s="9" t="str">
        <f t="shared" ca="1" si="50"/>
        <v>new State{Id=164,Title="مجارستان",ParentId=null,Guid=Guid.Parse("24F095F4-B678-4292-BC77-03AE0FC545B9"),CreatedDate=new DateTime (2026,3,25,4,26,24),CreatedUserId=null,Description= "Created by seeding data",IsActive=true,IsDeleted=false,LastModifiedDate=null,LastModifiedUserId=null},</v>
      </c>
    </row>
    <row r="167" spans="1:25" x14ac:dyDescent="0.5">
      <c r="A167" s="1" t="str">
        <f t="shared" si="34"/>
        <v>165,</v>
      </c>
      <c r="B167" s="1" t="s">
        <v>176</v>
      </c>
      <c r="C167" s="1" t="str">
        <f t="shared" si="35"/>
        <v>null,</v>
      </c>
      <c r="D167" s="1" t="s">
        <v>372</v>
      </c>
      <c r="E167" s="1" t="str">
        <f t="shared" ca="1" si="36"/>
        <v>new DateTime (2026,3,25,4,26,24),</v>
      </c>
      <c r="F167" s="1" t="str">
        <f t="shared" si="37"/>
        <v>null,</v>
      </c>
      <c r="G167" s="1" t="s">
        <v>207</v>
      </c>
      <c r="H167" s="1" t="str">
        <f t="shared" si="38"/>
        <v>true,</v>
      </c>
      <c r="I167" s="1" t="str">
        <f t="shared" si="39"/>
        <v>false,</v>
      </c>
      <c r="J167" s="1" t="str">
        <f t="shared" si="40"/>
        <v>null,</v>
      </c>
      <c r="K167" s="1" t="str">
        <f t="shared" si="41"/>
        <v>null</v>
      </c>
      <c r="L167" s="6"/>
      <c r="M167" s="10" t="str">
        <f>_xlfn.TEXTJOIN("=",FALSE,A$2,A167)</f>
        <v>Id=165,</v>
      </c>
      <c r="N167" s="10" t="str">
        <f>_xlfn.TEXTJOIN("=",FALSE,B$2,B167)</f>
        <v>Title="مراکش",</v>
      </c>
      <c r="O167" s="10" t="str">
        <f>_xlfn.TEXTJOIN("=",FALSE,C$2,C167)</f>
        <v>ParentId=null,</v>
      </c>
      <c r="P167" s="10" t="str">
        <f>_xlfn.TEXTJOIN("=",FALSE,D$2,D167)</f>
        <v>Guid=Guid.Parse("03913EB3-80A6-463D-9C1D-36F308099DB5"),</v>
      </c>
      <c r="Q167" s="10" t="str">
        <f t="shared" ca="1" si="42"/>
        <v>CreatedDate=new DateTime (2026,3,25,4,26,24),</v>
      </c>
      <c r="R167" s="10" t="str">
        <f t="shared" si="43"/>
        <v>CreatedUserId=null,</v>
      </c>
      <c r="S167" s="10" t="str">
        <f t="shared" si="44"/>
        <v>Description= "Created by seeding data",</v>
      </c>
      <c r="T167" s="10" t="str">
        <f t="shared" si="45"/>
        <v>IsActive=true,</v>
      </c>
      <c r="U167" s="10" t="str">
        <f t="shared" si="46"/>
        <v>IsDeleted=false,</v>
      </c>
      <c r="V167" s="10" t="str">
        <f t="shared" si="47"/>
        <v>LastModifiedDate=null,</v>
      </c>
      <c r="W167" s="10" t="str">
        <f t="shared" si="48"/>
        <v>LastModifiedUserId=null</v>
      </c>
      <c r="X167" s="9" t="str">
        <f t="shared" ca="1" si="49"/>
        <v>Id=165,Title="مراکش",ParentId=null,Guid=Guid.Parse("03913EB3-80A6-463D-9C1D-36F308099DB5"),CreatedDate=new DateTime (2026,3,25,4,26,24),CreatedUserId=null,Description= "Created by seeding data",IsActive=true,IsDeleted=false,LastModifiedDate=null,LastModifiedUserId=null</v>
      </c>
      <c r="Y167" s="9" t="str">
        <f t="shared" ca="1" si="50"/>
        <v>new State{Id=165,Title="مراکش",ParentId=null,Guid=Guid.Parse("03913EB3-80A6-463D-9C1D-36F308099DB5"),CreatedDate=new DateTime (2026,3,25,4,26,24),CreatedUserId=null,Description= "Created by seeding data",IsActive=true,IsDeleted=false,LastModifiedDate=null,LastModifiedUserId=null},</v>
      </c>
    </row>
    <row r="168" spans="1:25" x14ac:dyDescent="0.5">
      <c r="A168" s="1" t="str">
        <f t="shared" si="34"/>
        <v>166,</v>
      </c>
      <c r="B168" s="1" t="s">
        <v>177</v>
      </c>
      <c r="C168" s="1" t="str">
        <f t="shared" si="35"/>
        <v>null,</v>
      </c>
      <c r="D168" s="1" t="s">
        <v>373</v>
      </c>
      <c r="E168" s="1" t="str">
        <f t="shared" ca="1" si="36"/>
        <v>new DateTime (2026,3,25,4,26,24),</v>
      </c>
      <c r="F168" s="1" t="str">
        <f t="shared" si="37"/>
        <v>null,</v>
      </c>
      <c r="G168" s="1" t="s">
        <v>207</v>
      </c>
      <c r="H168" s="1" t="str">
        <f t="shared" si="38"/>
        <v>true,</v>
      </c>
      <c r="I168" s="1" t="str">
        <f t="shared" si="39"/>
        <v>false,</v>
      </c>
      <c r="J168" s="1" t="str">
        <f t="shared" si="40"/>
        <v>null,</v>
      </c>
      <c r="K168" s="1" t="str">
        <f t="shared" si="41"/>
        <v>null</v>
      </c>
      <c r="L168" s="6"/>
      <c r="M168" s="10" t="str">
        <f>_xlfn.TEXTJOIN("=",FALSE,A$2,A168)</f>
        <v>Id=166,</v>
      </c>
      <c r="N168" s="10" t="str">
        <f>_xlfn.TEXTJOIN("=",FALSE,B$2,B168)</f>
        <v>Title="مصر",</v>
      </c>
      <c r="O168" s="10" t="str">
        <f>_xlfn.TEXTJOIN("=",FALSE,C$2,C168)</f>
        <v>ParentId=null,</v>
      </c>
      <c r="P168" s="10" t="str">
        <f>_xlfn.TEXTJOIN("=",FALSE,D$2,D168)</f>
        <v>Guid=Guid.Parse("238AD5E5-E39B-40EE-8B38-37EF84F8DDA5"),</v>
      </c>
      <c r="Q168" s="10" t="str">
        <f t="shared" ca="1" si="42"/>
        <v>CreatedDate=new DateTime (2026,3,25,4,26,24),</v>
      </c>
      <c r="R168" s="10" t="str">
        <f t="shared" si="43"/>
        <v>CreatedUserId=null,</v>
      </c>
      <c r="S168" s="10" t="str">
        <f t="shared" si="44"/>
        <v>Description= "Created by seeding data",</v>
      </c>
      <c r="T168" s="10" t="str">
        <f t="shared" si="45"/>
        <v>IsActive=true,</v>
      </c>
      <c r="U168" s="10" t="str">
        <f t="shared" si="46"/>
        <v>IsDeleted=false,</v>
      </c>
      <c r="V168" s="10" t="str">
        <f t="shared" si="47"/>
        <v>LastModifiedDate=null,</v>
      </c>
      <c r="W168" s="10" t="str">
        <f t="shared" si="48"/>
        <v>LastModifiedUserId=null</v>
      </c>
      <c r="X168" s="9" t="str">
        <f t="shared" ca="1" si="49"/>
        <v>Id=166,Title="مصر",ParentId=null,Guid=Guid.Parse("238AD5E5-E39B-40EE-8B38-37EF84F8DDA5"),CreatedDate=new DateTime (2026,3,25,4,26,24),CreatedUserId=null,Description= "Created by seeding data",IsActive=true,IsDeleted=false,LastModifiedDate=null,LastModifiedUserId=null</v>
      </c>
      <c r="Y168" s="9" t="str">
        <f t="shared" ca="1" si="50"/>
        <v>new State{Id=166,Title="مصر",ParentId=null,Guid=Guid.Parse("238AD5E5-E39B-40EE-8B38-37EF84F8DDA5"),CreatedDate=new DateTime (2026,3,25,4,26,24),CreatedUserId=null,Description= "Created by seeding data",IsActive=true,IsDeleted=false,LastModifiedDate=null,LastModifiedUserId=null},</v>
      </c>
    </row>
    <row r="169" spans="1:25" x14ac:dyDescent="0.5">
      <c r="A169" s="1" t="str">
        <f t="shared" si="34"/>
        <v>167,</v>
      </c>
      <c r="B169" s="1" t="s">
        <v>178</v>
      </c>
      <c r="C169" s="1" t="str">
        <f t="shared" si="35"/>
        <v>null,</v>
      </c>
      <c r="D169" s="1" t="s">
        <v>374</v>
      </c>
      <c r="E169" s="1" t="str">
        <f t="shared" ca="1" si="36"/>
        <v>new DateTime (2026,3,25,4,26,24),</v>
      </c>
      <c r="F169" s="1" t="str">
        <f t="shared" si="37"/>
        <v>null,</v>
      </c>
      <c r="G169" s="1" t="s">
        <v>207</v>
      </c>
      <c r="H169" s="1" t="str">
        <f t="shared" si="38"/>
        <v>true,</v>
      </c>
      <c r="I169" s="1" t="str">
        <f t="shared" si="39"/>
        <v>false,</v>
      </c>
      <c r="J169" s="1" t="str">
        <f t="shared" si="40"/>
        <v>null,</v>
      </c>
      <c r="K169" s="1" t="str">
        <f t="shared" si="41"/>
        <v>null</v>
      </c>
      <c r="L169" s="6"/>
      <c r="M169" s="10" t="str">
        <f>_xlfn.TEXTJOIN("=",FALSE,A$2,A169)</f>
        <v>Id=167,</v>
      </c>
      <c r="N169" s="10" t="str">
        <f>_xlfn.TEXTJOIN("=",FALSE,B$2,B169)</f>
        <v>Title="مغولستان",</v>
      </c>
      <c r="O169" s="10" t="str">
        <f>_xlfn.TEXTJOIN("=",FALSE,C$2,C169)</f>
        <v>ParentId=null,</v>
      </c>
      <c r="P169" s="10" t="str">
        <f>_xlfn.TEXTJOIN("=",FALSE,D$2,D169)</f>
        <v>Guid=Guid.Parse("286BE713-4598-49CE-B599-A1EEE83EA7FA"),</v>
      </c>
      <c r="Q169" s="10" t="str">
        <f t="shared" ca="1" si="42"/>
        <v>CreatedDate=new DateTime (2026,3,25,4,26,24),</v>
      </c>
      <c r="R169" s="10" t="str">
        <f t="shared" si="43"/>
        <v>CreatedUserId=null,</v>
      </c>
      <c r="S169" s="10" t="str">
        <f t="shared" si="44"/>
        <v>Description= "Created by seeding data",</v>
      </c>
      <c r="T169" s="10" t="str">
        <f t="shared" si="45"/>
        <v>IsActive=true,</v>
      </c>
      <c r="U169" s="10" t="str">
        <f t="shared" si="46"/>
        <v>IsDeleted=false,</v>
      </c>
      <c r="V169" s="10" t="str">
        <f t="shared" si="47"/>
        <v>LastModifiedDate=null,</v>
      </c>
      <c r="W169" s="10" t="str">
        <f t="shared" si="48"/>
        <v>LastModifiedUserId=null</v>
      </c>
      <c r="X169" s="9" t="str">
        <f t="shared" ca="1" si="49"/>
        <v>Id=167,Title="مغولستان",ParentId=null,Guid=Guid.Parse("286BE713-4598-49CE-B599-A1EEE83EA7FA"),CreatedDate=new DateTime (2026,3,25,4,26,24),CreatedUserId=null,Description= "Created by seeding data",IsActive=true,IsDeleted=false,LastModifiedDate=null,LastModifiedUserId=null</v>
      </c>
      <c r="Y169" s="9" t="str">
        <f t="shared" ca="1" si="50"/>
        <v>new State{Id=167,Title="مغولستان",ParentId=null,Guid=Guid.Parse("286BE713-4598-49CE-B599-A1EEE83EA7FA"),CreatedDate=new DateTime (2026,3,25,4,26,24),CreatedUserId=null,Description= "Created by seeding data",IsActive=true,IsDeleted=false,LastModifiedDate=null,LastModifiedUserId=null},</v>
      </c>
    </row>
    <row r="170" spans="1:25" x14ac:dyDescent="0.5">
      <c r="A170" s="1" t="str">
        <f t="shared" si="34"/>
        <v>168,</v>
      </c>
      <c r="B170" s="1" t="s">
        <v>179</v>
      </c>
      <c r="C170" s="1" t="str">
        <f t="shared" si="35"/>
        <v>null,</v>
      </c>
      <c r="D170" s="1" t="s">
        <v>375</v>
      </c>
      <c r="E170" s="1" t="str">
        <f t="shared" ca="1" si="36"/>
        <v>new DateTime (2026,3,25,4,26,24),</v>
      </c>
      <c r="F170" s="1" t="str">
        <f t="shared" si="37"/>
        <v>null,</v>
      </c>
      <c r="G170" s="1" t="s">
        <v>207</v>
      </c>
      <c r="H170" s="1" t="str">
        <f t="shared" si="38"/>
        <v>true,</v>
      </c>
      <c r="I170" s="1" t="str">
        <f t="shared" si="39"/>
        <v>false,</v>
      </c>
      <c r="J170" s="1" t="str">
        <f t="shared" si="40"/>
        <v>null,</v>
      </c>
      <c r="K170" s="1" t="str">
        <f t="shared" si="41"/>
        <v>null</v>
      </c>
      <c r="L170" s="6"/>
      <c r="M170" s="10" t="str">
        <f>_xlfn.TEXTJOIN("=",FALSE,A$2,A170)</f>
        <v>Id=168,</v>
      </c>
      <c r="N170" s="10" t="str">
        <f>_xlfn.TEXTJOIN("=",FALSE,B$2,B170)</f>
        <v>Title="مقدونیه شمالی",</v>
      </c>
      <c r="O170" s="10" t="str">
        <f>_xlfn.TEXTJOIN("=",FALSE,C$2,C170)</f>
        <v>ParentId=null,</v>
      </c>
      <c r="P170" s="10" t="str">
        <f>_xlfn.TEXTJOIN("=",FALSE,D$2,D170)</f>
        <v>Guid=Guid.Parse("DADAE484-048D-4063-826C-5479C7633F4B"),</v>
      </c>
      <c r="Q170" s="10" t="str">
        <f t="shared" ca="1" si="42"/>
        <v>CreatedDate=new DateTime (2026,3,25,4,26,24),</v>
      </c>
      <c r="R170" s="10" t="str">
        <f t="shared" si="43"/>
        <v>CreatedUserId=null,</v>
      </c>
      <c r="S170" s="10" t="str">
        <f t="shared" si="44"/>
        <v>Description= "Created by seeding data",</v>
      </c>
      <c r="T170" s="10" t="str">
        <f t="shared" si="45"/>
        <v>IsActive=true,</v>
      </c>
      <c r="U170" s="10" t="str">
        <f t="shared" si="46"/>
        <v>IsDeleted=false,</v>
      </c>
      <c r="V170" s="10" t="str">
        <f t="shared" si="47"/>
        <v>LastModifiedDate=null,</v>
      </c>
      <c r="W170" s="10" t="str">
        <f t="shared" si="48"/>
        <v>LastModifiedUserId=null</v>
      </c>
      <c r="X170" s="9" t="str">
        <f t="shared" ca="1" si="49"/>
        <v>Id=168,Title="مقدونیه شمالی",ParentId=null,Guid=Guid.Parse("DADAE484-048D-4063-826C-5479C7633F4B"),CreatedDate=new DateTime (2026,3,25,4,26,24),CreatedUserId=null,Description= "Created by seeding data",IsActive=true,IsDeleted=false,LastModifiedDate=null,LastModifiedUserId=null</v>
      </c>
      <c r="Y170" s="9" t="str">
        <f t="shared" ca="1" si="50"/>
        <v>new State{Id=168,Title="مقدونیه شمالی",ParentId=null,Guid=Guid.Parse("DADAE484-048D-4063-826C-5479C7633F4B"),CreatedDate=new DateTime (2026,3,25,4,26,24),CreatedUserId=null,Description= "Created by seeding data",IsActive=true,IsDeleted=false,LastModifiedDate=null,LastModifiedUserId=null},</v>
      </c>
    </row>
    <row r="171" spans="1:25" x14ac:dyDescent="0.5">
      <c r="A171" s="1" t="str">
        <f t="shared" si="34"/>
        <v>169,</v>
      </c>
      <c r="B171" s="1" t="s">
        <v>180</v>
      </c>
      <c r="C171" s="1" t="str">
        <f t="shared" si="35"/>
        <v>null,</v>
      </c>
      <c r="D171" s="1" t="s">
        <v>376</v>
      </c>
      <c r="E171" s="1" t="str">
        <f t="shared" ca="1" si="36"/>
        <v>new DateTime (2026,3,25,4,26,24),</v>
      </c>
      <c r="F171" s="1" t="str">
        <f t="shared" si="37"/>
        <v>null,</v>
      </c>
      <c r="G171" s="1" t="s">
        <v>207</v>
      </c>
      <c r="H171" s="1" t="str">
        <f t="shared" si="38"/>
        <v>true,</v>
      </c>
      <c r="I171" s="1" t="str">
        <f t="shared" si="39"/>
        <v>false,</v>
      </c>
      <c r="J171" s="1" t="str">
        <f t="shared" si="40"/>
        <v>null,</v>
      </c>
      <c r="K171" s="1" t="str">
        <f t="shared" si="41"/>
        <v>null</v>
      </c>
      <c r="L171" s="6"/>
      <c r="M171" s="10" t="str">
        <f>_xlfn.TEXTJOIN("=",FALSE,A$2,A171)</f>
        <v>Id=169,</v>
      </c>
      <c r="N171" s="10" t="str">
        <f>_xlfn.TEXTJOIN("=",FALSE,B$2,B171)</f>
        <v>Title="مکزیک",</v>
      </c>
      <c r="O171" s="10" t="str">
        <f>_xlfn.TEXTJOIN("=",FALSE,C$2,C171)</f>
        <v>ParentId=null,</v>
      </c>
      <c r="P171" s="10" t="str">
        <f>_xlfn.TEXTJOIN("=",FALSE,D$2,D171)</f>
        <v>Guid=Guid.Parse("3BE159FD-38E8-4244-8F8A-7E4105F2BC84"),</v>
      </c>
      <c r="Q171" s="10" t="str">
        <f t="shared" ca="1" si="42"/>
        <v>CreatedDate=new DateTime (2026,3,25,4,26,24),</v>
      </c>
      <c r="R171" s="10" t="str">
        <f t="shared" si="43"/>
        <v>CreatedUserId=null,</v>
      </c>
      <c r="S171" s="10" t="str">
        <f t="shared" si="44"/>
        <v>Description= "Created by seeding data",</v>
      </c>
      <c r="T171" s="10" t="str">
        <f t="shared" si="45"/>
        <v>IsActive=true,</v>
      </c>
      <c r="U171" s="10" t="str">
        <f t="shared" si="46"/>
        <v>IsDeleted=false,</v>
      </c>
      <c r="V171" s="10" t="str">
        <f t="shared" si="47"/>
        <v>LastModifiedDate=null,</v>
      </c>
      <c r="W171" s="10" t="str">
        <f t="shared" si="48"/>
        <v>LastModifiedUserId=null</v>
      </c>
      <c r="X171" s="9" t="str">
        <f t="shared" ca="1" si="49"/>
        <v>Id=169,Title="مکزیک",ParentId=null,Guid=Guid.Parse("3BE159FD-38E8-4244-8F8A-7E4105F2BC84"),CreatedDate=new DateTime (2026,3,25,4,26,24),CreatedUserId=null,Description= "Created by seeding data",IsActive=true,IsDeleted=false,LastModifiedDate=null,LastModifiedUserId=null</v>
      </c>
      <c r="Y171" s="9" t="str">
        <f t="shared" ca="1" si="50"/>
        <v>new State{Id=169,Title="مکزیک",ParentId=null,Guid=Guid.Parse("3BE159FD-38E8-4244-8F8A-7E4105F2BC84"),CreatedDate=new DateTime (2026,3,25,4,26,24),CreatedUserId=null,Description= "Created by seeding data",IsActive=true,IsDeleted=false,LastModifiedDate=null,LastModifiedUserId=null},</v>
      </c>
    </row>
    <row r="172" spans="1:25" x14ac:dyDescent="0.5">
      <c r="A172" s="1" t="str">
        <f t="shared" si="34"/>
        <v>170,</v>
      </c>
      <c r="B172" s="1" t="s">
        <v>181</v>
      </c>
      <c r="C172" s="1" t="str">
        <f t="shared" si="35"/>
        <v>null,</v>
      </c>
      <c r="D172" s="1" t="s">
        <v>377</v>
      </c>
      <c r="E172" s="1" t="str">
        <f t="shared" ca="1" si="36"/>
        <v>new DateTime (2026,3,25,4,26,24),</v>
      </c>
      <c r="F172" s="1" t="str">
        <f t="shared" si="37"/>
        <v>null,</v>
      </c>
      <c r="G172" s="1" t="s">
        <v>207</v>
      </c>
      <c r="H172" s="1" t="str">
        <f t="shared" si="38"/>
        <v>true,</v>
      </c>
      <c r="I172" s="1" t="str">
        <f t="shared" si="39"/>
        <v>false,</v>
      </c>
      <c r="J172" s="1" t="str">
        <f t="shared" si="40"/>
        <v>null,</v>
      </c>
      <c r="K172" s="1" t="str">
        <f t="shared" si="41"/>
        <v>null</v>
      </c>
      <c r="L172" s="6"/>
      <c r="M172" s="10" t="str">
        <f>_xlfn.TEXTJOIN("=",FALSE,A$2,A172)</f>
        <v>Id=170,</v>
      </c>
      <c r="N172" s="10" t="str">
        <f>_xlfn.TEXTJOIN("=",FALSE,B$2,B172)</f>
        <v>Title="موریتانی",</v>
      </c>
      <c r="O172" s="10" t="str">
        <f>_xlfn.TEXTJOIN("=",FALSE,C$2,C172)</f>
        <v>ParentId=null,</v>
      </c>
      <c r="P172" s="10" t="str">
        <f>_xlfn.TEXTJOIN("=",FALSE,D$2,D172)</f>
        <v>Guid=Guid.Parse("4A3BF462-850A-4856-82B2-3D9A7DAADE61"),</v>
      </c>
      <c r="Q172" s="10" t="str">
        <f t="shared" ca="1" si="42"/>
        <v>CreatedDate=new DateTime (2026,3,25,4,26,24),</v>
      </c>
      <c r="R172" s="10" t="str">
        <f t="shared" si="43"/>
        <v>CreatedUserId=null,</v>
      </c>
      <c r="S172" s="10" t="str">
        <f t="shared" si="44"/>
        <v>Description= "Created by seeding data",</v>
      </c>
      <c r="T172" s="10" t="str">
        <f t="shared" si="45"/>
        <v>IsActive=true,</v>
      </c>
      <c r="U172" s="10" t="str">
        <f t="shared" si="46"/>
        <v>IsDeleted=false,</v>
      </c>
      <c r="V172" s="10" t="str">
        <f t="shared" si="47"/>
        <v>LastModifiedDate=null,</v>
      </c>
      <c r="W172" s="10" t="str">
        <f t="shared" si="48"/>
        <v>LastModifiedUserId=null</v>
      </c>
      <c r="X172" s="9" t="str">
        <f t="shared" ca="1" si="49"/>
        <v>Id=170,Title="موریتانی",ParentId=null,Guid=Guid.Parse("4A3BF462-850A-4856-82B2-3D9A7DAADE61"),CreatedDate=new DateTime (2026,3,25,4,26,24),CreatedUserId=null,Description= "Created by seeding data",IsActive=true,IsDeleted=false,LastModifiedDate=null,LastModifiedUserId=null</v>
      </c>
      <c r="Y172" s="9" t="str">
        <f t="shared" ca="1" si="50"/>
        <v>new State{Id=170,Title="موریتانی",ParentId=null,Guid=Guid.Parse("4A3BF462-850A-4856-82B2-3D9A7DAADE61"),CreatedDate=new DateTime (2026,3,25,4,26,24),CreatedUserId=null,Description= "Created by seeding data",IsActive=true,IsDeleted=false,LastModifiedDate=null,LastModifiedUserId=null},</v>
      </c>
    </row>
    <row r="173" spans="1:25" x14ac:dyDescent="0.5">
      <c r="A173" s="1" t="str">
        <f t="shared" si="34"/>
        <v>171,</v>
      </c>
      <c r="B173" s="1" t="s">
        <v>182</v>
      </c>
      <c r="C173" s="1" t="str">
        <f t="shared" si="35"/>
        <v>null,</v>
      </c>
      <c r="D173" s="1" t="s">
        <v>378</v>
      </c>
      <c r="E173" s="1" t="str">
        <f t="shared" ca="1" si="36"/>
        <v>new DateTime (2026,3,25,4,26,24),</v>
      </c>
      <c r="F173" s="1" t="str">
        <f t="shared" si="37"/>
        <v>null,</v>
      </c>
      <c r="G173" s="1" t="s">
        <v>207</v>
      </c>
      <c r="H173" s="1" t="str">
        <f t="shared" si="38"/>
        <v>true,</v>
      </c>
      <c r="I173" s="1" t="str">
        <f t="shared" si="39"/>
        <v>false,</v>
      </c>
      <c r="J173" s="1" t="str">
        <f t="shared" si="40"/>
        <v>null,</v>
      </c>
      <c r="K173" s="1" t="str">
        <f t="shared" si="41"/>
        <v>null</v>
      </c>
      <c r="L173" s="6"/>
      <c r="M173" s="10" t="str">
        <f>_xlfn.TEXTJOIN("=",FALSE,A$2,A173)</f>
        <v>Id=171,</v>
      </c>
      <c r="N173" s="10" t="str">
        <f>_xlfn.TEXTJOIN("=",FALSE,B$2,B173)</f>
        <v>Title="موریس",</v>
      </c>
      <c r="O173" s="10" t="str">
        <f>_xlfn.TEXTJOIN("=",FALSE,C$2,C173)</f>
        <v>ParentId=null,</v>
      </c>
      <c r="P173" s="10" t="str">
        <f>_xlfn.TEXTJOIN("=",FALSE,D$2,D173)</f>
        <v>Guid=Guid.Parse("41490960-34E5-49F5-97E0-CFC66460C38D"),</v>
      </c>
      <c r="Q173" s="10" t="str">
        <f t="shared" ca="1" si="42"/>
        <v>CreatedDate=new DateTime (2026,3,25,4,26,24),</v>
      </c>
      <c r="R173" s="10" t="str">
        <f t="shared" si="43"/>
        <v>CreatedUserId=null,</v>
      </c>
      <c r="S173" s="10" t="str">
        <f t="shared" si="44"/>
        <v>Description= "Created by seeding data",</v>
      </c>
      <c r="T173" s="10" t="str">
        <f t="shared" si="45"/>
        <v>IsActive=true,</v>
      </c>
      <c r="U173" s="10" t="str">
        <f t="shared" si="46"/>
        <v>IsDeleted=false,</v>
      </c>
      <c r="V173" s="10" t="str">
        <f t="shared" si="47"/>
        <v>LastModifiedDate=null,</v>
      </c>
      <c r="W173" s="10" t="str">
        <f t="shared" si="48"/>
        <v>LastModifiedUserId=null</v>
      </c>
      <c r="X173" s="9" t="str">
        <f t="shared" ca="1" si="49"/>
        <v>Id=171,Title="موریس",ParentId=null,Guid=Guid.Parse("41490960-34E5-49F5-97E0-CFC66460C38D"),CreatedDate=new DateTime (2026,3,25,4,26,24),CreatedUserId=null,Description= "Created by seeding data",IsActive=true,IsDeleted=false,LastModifiedDate=null,LastModifiedUserId=null</v>
      </c>
      <c r="Y173" s="9" t="str">
        <f t="shared" ca="1" si="50"/>
        <v>new State{Id=171,Title="موریس",ParentId=null,Guid=Guid.Parse("41490960-34E5-49F5-97E0-CFC66460C38D"),CreatedDate=new DateTime (2026,3,25,4,26,24),CreatedUserId=null,Description= "Created by seeding data",IsActive=true,IsDeleted=false,LastModifiedDate=null,LastModifiedUserId=null},</v>
      </c>
    </row>
    <row r="174" spans="1:25" x14ac:dyDescent="0.5">
      <c r="A174" s="1" t="str">
        <f t="shared" si="34"/>
        <v>172,</v>
      </c>
      <c r="B174" s="1" t="s">
        <v>183</v>
      </c>
      <c r="C174" s="1" t="str">
        <f t="shared" si="35"/>
        <v>null,</v>
      </c>
      <c r="D174" s="1" t="s">
        <v>379</v>
      </c>
      <c r="E174" s="1" t="str">
        <f t="shared" ca="1" si="36"/>
        <v>new DateTime (2026,3,25,4,26,24),</v>
      </c>
      <c r="F174" s="1" t="str">
        <f t="shared" si="37"/>
        <v>null,</v>
      </c>
      <c r="G174" s="1" t="s">
        <v>207</v>
      </c>
      <c r="H174" s="1" t="str">
        <f t="shared" si="38"/>
        <v>true,</v>
      </c>
      <c r="I174" s="1" t="str">
        <f t="shared" si="39"/>
        <v>false,</v>
      </c>
      <c r="J174" s="1" t="str">
        <f t="shared" si="40"/>
        <v>null,</v>
      </c>
      <c r="K174" s="1" t="str">
        <f t="shared" si="41"/>
        <v>null</v>
      </c>
      <c r="L174" s="6"/>
      <c r="M174" s="10" t="str">
        <f>_xlfn.TEXTJOIN("=",FALSE,A$2,A174)</f>
        <v>Id=172,</v>
      </c>
      <c r="N174" s="10" t="str">
        <f>_xlfn.TEXTJOIN("=",FALSE,B$2,B174)</f>
        <v>Title="موزامبیک",</v>
      </c>
      <c r="O174" s="10" t="str">
        <f>_xlfn.TEXTJOIN("=",FALSE,C$2,C174)</f>
        <v>ParentId=null,</v>
      </c>
      <c r="P174" s="10" t="str">
        <f>_xlfn.TEXTJOIN("=",FALSE,D$2,D174)</f>
        <v>Guid=Guid.Parse("35D25127-9E9A-4C51-A1AB-0E46BCD2F737"),</v>
      </c>
      <c r="Q174" s="10" t="str">
        <f t="shared" ca="1" si="42"/>
        <v>CreatedDate=new DateTime (2026,3,25,4,26,24),</v>
      </c>
      <c r="R174" s="10" t="str">
        <f t="shared" si="43"/>
        <v>CreatedUserId=null,</v>
      </c>
      <c r="S174" s="10" t="str">
        <f t="shared" si="44"/>
        <v>Description= "Created by seeding data",</v>
      </c>
      <c r="T174" s="10" t="str">
        <f t="shared" si="45"/>
        <v>IsActive=true,</v>
      </c>
      <c r="U174" s="10" t="str">
        <f t="shared" si="46"/>
        <v>IsDeleted=false,</v>
      </c>
      <c r="V174" s="10" t="str">
        <f t="shared" si="47"/>
        <v>LastModifiedDate=null,</v>
      </c>
      <c r="W174" s="10" t="str">
        <f t="shared" si="48"/>
        <v>LastModifiedUserId=null</v>
      </c>
      <c r="X174" s="9" t="str">
        <f t="shared" ca="1" si="49"/>
        <v>Id=172,Title="موزامبیک",ParentId=null,Guid=Guid.Parse("35D25127-9E9A-4C51-A1AB-0E46BCD2F737"),CreatedDate=new DateTime (2026,3,25,4,26,24),CreatedUserId=null,Description= "Created by seeding data",IsActive=true,IsDeleted=false,LastModifiedDate=null,LastModifiedUserId=null</v>
      </c>
      <c r="Y174" s="9" t="str">
        <f t="shared" ca="1" si="50"/>
        <v>new State{Id=172,Title="موزامبیک",ParentId=null,Guid=Guid.Parse("35D25127-9E9A-4C51-A1AB-0E46BCD2F737"),CreatedDate=new DateTime (2026,3,25,4,26,24),CreatedUserId=null,Description= "Created by seeding data",IsActive=true,IsDeleted=false,LastModifiedDate=null,LastModifiedUserId=null},</v>
      </c>
    </row>
    <row r="175" spans="1:25" x14ac:dyDescent="0.5">
      <c r="A175" s="1" t="str">
        <f t="shared" si="34"/>
        <v>173,</v>
      </c>
      <c r="B175" s="1" t="s">
        <v>184</v>
      </c>
      <c r="C175" s="1" t="str">
        <f t="shared" si="35"/>
        <v>null,</v>
      </c>
      <c r="D175" s="1" t="s">
        <v>380</v>
      </c>
      <c r="E175" s="1" t="str">
        <f t="shared" ca="1" si="36"/>
        <v>new DateTime (2026,3,25,4,26,24),</v>
      </c>
      <c r="F175" s="1" t="str">
        <f t="shared" si="37"/>
        <v>null,</v>
      </c>
      <c r="G175" s="1" t="s">
        <v>207</v>
      </c>
      <c r="H175" s="1" t="str">
        <f t="shared" si="38"/>
        <v>true,</v>
      </c>
      <c r="I175" s="1" t="str">
        <f t="shared" si="39"/>
        <v>false,</v>
      </c>
      <c r="J175" s="1" t="str">
        <f t="shared" si="40"/>
        <v>null,</v>
      </c>
      <c r="K175" s="1" t="str">
        <f t="shared" si="41"/>
        <v>null</v>
      </c>
      <c r="L175" s="6"/>
      <c r="M175" s="10" t="str">
        <f>_xlfn.TEXTJOIN("=",FALSE,A$2,A175)</f>
        <v>Id=173,</v>
      </c>
      <c r="N175" s="10" t="str">
        <f>_xlfn.TEXTJOIN("=",FALSE,B$2,B175)</f>
        <v>Title="مولداوی",</v>
      </c>
      <c r="O175" s="10" t="str">
        <f>_xlfn.TEXTJOIN("=",FALSE,C$2,C175)</f>
        <v>ParentId=null,</v>
      </c>
      <c r="P175" s="10" t="str">
        <f>_xlfn.TEXTJOIN("=",FALSE,D$2,D175)</f>
        <v>Guid=Guid.Parse("B6A893C3-BFDE-4A9F-8844-15812E56F93B"),</v>
      </c>
      <c r="Q175" s="10" t="str">
        <f t="shared" ca="1" si="42"/>
        <v>CreatedDate=new DateTime (2026,3,25,4,26,24),</v>
      </c>
      <c r="R175" s="10" t="str">
        <f t="shared" si="43"/>
        <v>CreatedUserId=null,</v>
      </c>
      <c r="S175" s="10" t="str">
        <f t="shared" si="44"/>
        <v>Description= "Created by seeding data",</v>
      </c>
      <c r="T175" s="10" t="str">
        <f t="shared" si="45"/>
        <v>IsActive=true,</v>
      </c>
      <c r="U175" s="10" t="str">
        <f t="shared" si="46"/>
        <v>IsDeleted=false,</v>
      </c>
      <c r="V175" s="10" t="str">
        <f t="shared" si="47"/>
        <v>LastModifiedDate=null,</v>
      </c>
      <c r="W175" s="10" t="str">
        <f t="shared" si="48"/>
        <v>LastModifiedUserId=null</v>
      </c>
      <c r="X175" s="9" t="str">
        <f t="shared" ca="1" si="49"/>
        <v>Id=173,Title="مولداوی",ParentId=null,Guid=Guid.Parse("B6A893C3-BFDE-4A9F-8844-15812E56F93B"),CreatedDate=new DateTime (2026,3,25,4,26,24),CreatedUserId=null,Description= "Created by seeding data",IsActive=true,IsDeleted=false,LastModifiedDate=null,LastModifiedUserId=null</v>
      </c>
      <c r="Y175" s="9" t="str">
        <f t="shared" ca="1" si="50"/>
        <v>new State{Id=173,Title="مولداوی",ParentId=null,Guid=Guid.Parse("B6A893C3-BFDE-4A9F-8844-15812E56F93B"),CreatedDate=new DateTime (2026,3,25,4,26,24),CreatedUserId=null,Description= "Created by seeding data",IsActive=true,IsDeleted=false,LastModifiedDate=null,LastModifiedUserId=null},</v>
      </c>
    </row>
    <row r="176" spans="1:25" x14ac:dyDescent="0.5">
      <c r="A176" s="1" t="str">
        <f t="shared" si="34"/>
        <v>174,</v>
      </c>
      <c r="B176" s="1" t="s">
        <v>185</v>
      </c>
      <c r="C176" s="1" t="str">
        <f t="shared" si="35"/>
        <v>null,</v>
      </c>
      <c r="D176" s="1" t="s">
        <v>381</v>
      </c>
      <c r="E176" s="1" t="str">
        <f t="shared" ca="1" si="36"/>
        <v>new DateTime (2026,3,25,4,26,24),</v>
      </c>
      <c r="F176" s="1" t="str">
        <f t="shared" si="37"/>
        <v>null,</v>
      </c>
      <c r="G176" s="1" t="s">
        <v>207</v>
      </c>
      <c r="H176" s="1" t="str">
        <f t="shared" si="38"/>
        <v>true,</v>
      </c>
      <c r="I176" s="1" t="str">
        <f t="shared" si="39"/>
        <v>false,</v>
      </c>
      <c r="J176" s="1" t="str">
        <f t="shared" si="40"/>
        <v>null,</v>
      </c>
      <c r="K176" s="1" t="str">
        <f t="shared" si="41"/>
        <v>null</v>
      </c>
      <c r="L176" s="6"/>
      <c r="M176" s="10" t="str">
        <f>_xlfn.TEXTJOIN("=",FALSE,A$2,A176)</f>
        <v>Id=174,</v>
      </c>
      <c r="N176" s="10" t="str">
        <f>_xlfn.TEXTJOIN("=",FALSE,B$2,B176)</f>
        <v>Title="موناکو",</v>
      </c>
      <c r="O176" s="10" t="str">
        <f>_xlfn.TEXTJOIN("=",FALSE,C$2,C176)</f>
        <v>ParentId=null,</v>
      </c>
      <c r="P176" s="10" t="str">
        <f>_xlfn.TEXTJOIN("=",FALSE,D$2,D176)</f>
        <v>Guid=Guid.Parse("C9EF31C0-0B76-41BB-AD94-367824440E0C"),</v>
      </c>
      <c r="Q176" s="10" t="str">
        <f t="shared" ca="1" si="42"/>
        <v>CreatedDate=new DateTime (2026,3,25,4,26,24),</v>
      </c>
      <c r="R176" s="10" t="str">
        <f t="shared" si="43"/>
        <v>CreatedUserId=null,</v>
      </c>
      <c r="S176" s="10" t="str">
        <f t="shared" si="44"/>
        <v>Description= "Created by seeding data",</v>
      </c>
      <c r="T176" s="10" t="str">
        <f t="shared" si="45"/>
        <v>IsActive=true,</v>
      </c>
      <c r="U176" s="10" t="str">
        <f t="shared" si="46"/>
        <v>IsDeleted=false,</v>
      </c>
      <c r="V176" s="10" t="str">
        <f t="shared" si="47"/>
        <v>LastModifiedDate=null,</v>
      </c>
      <c r="W176" s="10" t="str">
        <f t="shared" si="48"/>
        <v>LastModifiedUserId=null</v>
      </c>
      <c r="X176" s="9" t="str">
        <f t="shared" ca="1" si="49"/>
        <v>Id=174,Title="موناکو",ParentId=null,Guid=Guid.Parse("C9EF31C0-0B76-41BB-AD94-367824440E0C"),CreatedDate=new DateTime (2026,3,25,4,26,24),CreatedUserId=null,Description= "Created by seeding data",IsActive=true,IsDeleted=false,LastModifiedDate=null,LastModifiedUserId=null</v>
      </c>
      <c r="Y176" s="9" t="str">
        <f t="shared" ca="1" si="50"/>
        <v>new State{Id=174,Title="موناکو",ParentId=null,Guid=Guid.Parse("C9EF31C0-0B76-41BB-AD94-367824440E0C"),CreatedDate=new DateTime (2026,3,25,4,26,24),CreatedUserId=null,Description= "Created by seeding data",IsActive=true,IsDeleted=false,LastModifiedDate=null,LastModifiedUserId=null},</v>
      </c>
    </row>
    <row r="177" spans="1:25" x14ac:dyDescent="0.5">
      <c r="A177" s="1" t="str">
        <f t="shared" si="34"/>
        <v>175,</v>
      </c>
      <c r="B177" s="1" t="s">
        <v>186</v>
      </c>
      <c r="C177" s="1" t="str">
        <f t="shared" si="35"/>
        <v>null,</v>
      </c>
      <c r="D177" s="1" t="s">
        <v>382</v>
      </c>
      <c r="E177" s="1" t="str">
        <f t="shared" ca="1" si="36"/>
        <v>new DateTime (2026,3,25,4,26,24),</v>
      </c>
      <c r="F177" s="1" t="str">
        <f t="shared" si="37"/>
        <v>null,</v>
      </c>
      <c r="G177" s="1" t="s">
        <v>207</v>
      </c>
      <c r="H177" s="1" t="str">
        <f t="shared" si="38"/>
        <v>true,</v>
      </c>
      <c r="I177" s="1" t="str">
        <f t="shared" si="39"/>
        <v>false,</v>
      </c>
      <c r="J177" s="1" t="str">
        <f t="shared" si="40"/>
        <v>null,</v>
      </c>
      <c r="K177" s="1" t="str">
        <f t="shared" si="41"/>
        <v>null</v>
      </c>
      <c r="L177" s="6"/>
      <c r="M177" s="10" t="str">
        <f>_xlfn.TEXTJOIN("=",FALSE,A$2,A177)</f>
        <v>Id=175,</v>
      </c>
      <c r="N177" s="10" t="str">
        <f>_xlfn.TEXTJOIN("=",FALSE,B$2,B177)</f>
        <v>Title="مونته‌نگرو",</v>
      </c>
      <c r="O177" s="10" t="str">
        <f>_xlfn.TEXTJOIN("=",FALSE,C$2,C177)</f>
        <v>ParentId=null,</v>
      </c>
      <c r="P177" s="10" t="str">
        <f>_xlfn.TEXTJOIN("=",FALSE,D$2,D177)</f>
        <v>Guid=Guid.Parse("762F949D-BA05-464B-840B-512D66415F36"),</v>
      </c>
      <c r="Q177" s="10" t="str">
        <f t="shared" ca="1" si="42"/>
        <v>CreatedDate=new DateTime (2026,3,25,4,26,24),</v>
      </c>
      <c r="R177" s="10" t="str">
        <f t="shared" si="43"/>
        <v>CreatedUserId=null,</v>
      </c>
      <c r="S177" s="10" t="str">
        <f t="shared" si="44"/>
        <v>Description= "Created by seeding data",</v>
      </c>
      <c r="T177" s="10" t="str">
        <f t="shared" si="45"/>
        <v>IsActive=true,</v>
      </c>
      <c r="U177" s="10" t="str">
        <f t="shared" si="46"/>
        <v>IsDeleted=false,</v>
      </c>
      <c r="V177" s="10" t="str">
        <f t="shared" si="47"/>
        <v>LastModifiedDate=null,</v>
      </c>
      <c r="W177" s="10" t="str">
        <f t="shared" si="48"/>
        <v>LastModifiedUserId=null</v>
      </c>
      <c r="X177" s="9" t="str">
        <f t="shared" ca="1" si="49"/>
        <v>Id=175,Title="مونته‌نگرو",ParentId=null,Guid=Guid.Parse("762F949D-BA05-464B-840B-512D66415F36"),CreatedDate=new DateTime (2026,3,25,4,26,24),CreatedUserId=null,Description= "Created by seeding data",IsActive=true,IsDeleted=false,LastModifiedDate=null,LastModifiedUserId=null</v>
      </c>
      <c r="Y177" s="9" t="str">
        <f t="shared" ca="1" si="50"/>
        <v>new State{Id=175,Title="مونته‌نگرو",ParentId=null,Guid=Guid.Parse("762F949D-BA05-464B-840B-512D66415F36"),CreatedDate=new DateTime (2026,3,25,4,26,24),CreatedUserId=null,Description= "Created by seeding data",IsActive=true,IsDeleted=false,LastModifiedDate=null,LastModifiedUserId=null},</v>
      </c>
    </row>
    <row r="178" spans="1:25" x14ac:dyDescent="0.5">
      <c r="A178" s="1" t="str">
        <f t="shared" si="34"/>
        <v>176,</v>
      </c>
      <c r="B178" s="1" t="s">
        <v>187</v>
      </c>
      <c r="C178" s="1" t="str">
        <f t="shared" si="35"/>
        <v>null,</v>
      </c>
      <c r="D178" s="1" t="s">
        <v>383</v>
      </c>
      <c r="E178" s="1" t="str">
        <f t="shared" ca="1" si="36"/>
        <v>new DateTime (2026,3,25,4,26,24),</v>
      </c>
      <c r="F178" s="1" t="str">
        <f t="shared" si="37"/>
        <v>null,</v>
      </c>
      <c r="G178" s="1" t="s">
        <v>207</v>
      </c>
      <c r="H178" s="1" t="str">
        <f t="shared" si="38"/>
        <v>true,</v>
      </c>
      <c r="I178" s="1" t="str">
        <f t="shared" si="39"/>
        <v>false,</v>
      </c>
      <c r="J178" s="1" t="str">
        <f t="shared" si="40"/>
        <v>null,</v>
      </c>
      <c r="K178" s="1" t="str">
        <f t="shared" si="41"/>
        <v>null</v>
      </c>
      <c r="L178" s="6"/>
      <c r="M178" s="10" t="str">
        <f>_xlfn.TEXTJOIN("=",FALSE,A$2,A178)</f>
        <v>Id=176,</v>
      </c>
      <c r="N178" s="10" t="str">
        <f>_xlfn.TEXTJOIN("=",FALSE,B$2,B178)</f>
        <v>Title="میانمار",</v>
      </c>
      <c r="O178" s="10" t="str">
        <f>_xlfn.TEXTJOIN("=",FALSE,C$2,C178)</f>
        <v>ParentId=null,</v>
      </c>
      <c r="P178" s="10" t="str">
        <f>_xlfn.TEXTJOIN("=",FALSE,D$2,D178)</f>
        <v>Guid=Guid.Parse("9DBD70AF-D2C1-4F4D-A1DE-C7590FF02645"),</v>
      </c>
      <c r="Q178" s="10" t="str">
        <f t="shared" ca="1" si="42"/>
        <v>CreatedDate=new DateTime (2026,3,25,4,26,24),</v>
      </c>
      <c r="R178" s="10" t="str">
        <f t="shared" si="43"/>
        <v>CreatedUserId=null,</v>
      </c>
      <c r="S178" s="10" t="str">
        <f t="shared" si="44"/>
        <v>Description= "Created by seeding data",</v>
      </c>
      <c r="T178" s="10" t="str">
        <f t="shared" si="45"/>
        <v>IsActive=true,</v>
      </c>
      <c r="U178" s="10" t="str">
        <f t="shared" si="46"/>
        <v>IsDeleted=false,</v>
      </c>
      <c r="V178" s="10" t="str">
        <f t="shared" si="47"/>
        <v>LastModifiedDate=null,</v>
      </c>
      <c r="W178" s="10" t="str">
        <f t="shared" si="48"/>
        <v>LastModifiedUserId=null</v>
      </c>
      <c r="X178" s="9" t="str">
        <f t="shared" ca="1" si="49"/>
        <v>Id=176,Title="میانمار",ParentId=null,Guid=Guid.Parse("9DBD70AF-D2C1-4F4D-A1DE-C7590FF02645"),CreatedDate=new DateTime (2026,3,25,4,26,24),CreatedUserId=null,Description= "Created by seeding data",IsActive=true,IsDeleted=false,LastModifiedDate=null,LastModifiedUserId=null</v>
      </c>
      <c r="Y178" s="9" t="str">
        <f t="shared" ca="1" si="50"/>
        <v>new State{Id=176,Title="میانمار",ParentId=null,Guid=Guid.Parse("9DBD70AF-D2C1-4F4D-A1DE-C7590FF02645"),CreatedDate=new DateTime (2026,3,25,4,26,24),CreatedUserId=null,Description= "Created by seeding data",IsActive=true,IsDeleted=false,LastModifiedDate=null,LastModifiedUserId=null},</v>
      </c>
    </row>
    <row r="179" spans="1:25" x14ac:dyDescent="0.5">
      <c r="A179" s="1" t="str">
        <f t="shared" si="34"/>
        <v>177,</v>
      </c>
      <c r="B179" s="1" t="s">
        <v>188</v>
      </c>
      <c r="C179" s="1" t="str">
        <f t="shared" si="35"/>
        <v>null,</v>
      </c>
      <c r="D179" s="1" t="s">
        <v>384</v>
      </c>
      <c r="E179" s="1" t="str">
        <f t="shared" ca="1" si="36"/>
        <v>new DateTime (2026,3,25,4,26,24),</v>
      </c>
      <c r="F179" s="1" t="str">
        <f t="shared" si="37"/>
        <v>null,</v>
      </c>
      <c r="G179" s="1" t="s">
        <v>207</v>
      </c>
      <c r="H179" s="1" t="str">
        <f t="shared" si="38"/>
        <v>true,</v>
      </c>
      <c r="I179" s="1" t="str">
        <f t="shared" si="39"/>
        <v>false,</v>
      </c>
      <c r="J179" s="1" t="str">
        <f t="shared" si="40"/>
        <v>null,</v>
      </c>
      <c r="K179" s="1" t="str">
        <f t="shared" si="41"/>
        <v>null</v>
      </c>
      <c r="L179" s="6"/>
      <c r="M179" s="10" t="str">
        <f>_xlfn.TEXTJOIN("=",FALSE,A$2,A179)</f>
        <v>Id=177,</v>
      </c>
      <c r="N179" s="10" t="str">
        <f>_xlfn.TEXTJOIN("=",FALSE,B$2,B179)</f>
        <v>Title="میکرونزی",</v>
      </c>
      <c r="O179" s="10" t="str">
        <f>_xlfn.TEXTJOIN("=",FALSE,C$2,C179)</f>
        <v>ParentId=null,</v>
      </c>
      <c r="P179" s="10" t="str">
        <f>_xlfn.TEXTJOIN("=",FALSE,D$2,D179)</f>
        <v>Guid=Guid.Parse("8B13E51F-7358-42F0-A7A7-4AF7C98D112D"),</v>
      </c>
      <c r="Q179" s="10" t="str">
        <f t="shared" ca="1" si="42"/>
        <v>CreatedDate=new DateTime (2026,3,25,4,26,24),</v>
      </c>
      <c r="R179" s="10" t="str">
        <f t="shared" si="43"/>
        <v>CreatedUserId=null,</v>
      </c>
      <c r="S179" s="10" t="str">
        <f t="shared" si="44"/>
        <v>Description= "Created by seeding data",</v>
      </c>
      <c r="T179" s="10" t="str">
        <f t="shared" si="45"/>
        <v>IsActive=true,</v>
      </c>
      <c r="U179" s="10" t="str">
        <f t="shared" si="46"/>
        <v>IsDeleted=false,</v>
      </c>
      <c r="V179" s="10" t="str">
        <f t="shared" si="47"/>
        <v>LastModifiedDate=null,</v>
      </c>
      <c r="W179" s="10" t="str">
        <f t="shared" si="48"/>
        <v>LastModifiedUserId=null</v>
      </c>
      <c r="X179" s="9" t="str">
        <f t="shared" ca="1" si="49"/>
        <v>Id=177,Title="میکرونزی",ParentId=null,Guid=Guid.Parse("8B13E51F-7358-42F0-A7A7-4AF7C98D112D"),CreatedDate=new DateTime (2026,3,25,4,26,24),CreatedUserId=null,Description= "Created by seeding data",IsActive=true,IsDeleted=false,LastModifiedDate=null,LastModifiedUserId=null</v>
      </c>
      <c r="Y179" s="9" t="str">
        <f t="shared" ca="1" si="50"/>
        <v>new State{Id=177,Title="میکرونزی",ParentId=null,Guid=Guid.Parse("8B13E51F-7358-42F0-A7A7-4AF7C98D112D"),CreatedDate=new DateTime (2026,3,25,4,26,24),CreatedUserId=null,Description= "Created by seeding data",IsActive=true,IsDeleted=false,LastModifiedDate=null,LastModifiedUserId=null},</v>
      </c>
    </row>
    <row r="180" spans="1:25" x14ac:dyDescent="0.5">
      <c r="A180" s="1" t="str">
        <f t="shared" si="34"/>
        <v>178,</v>
      </c>
      <c r="B180" s="1" t="s">
        <v>189</v>
      </c>
      <c r="C180" s="1" t="str">
        <f t="shared" si="35"/>
        <v>null,</v>
      </c>
      <c r="D180" s="1" t="s">
        <v>385</v>
      </c>
      <c r="E180" s="1" t="str">
        <f t="shared" ca="1" si="36"/>
        <v>new DateTime (2026,3,25,4,26,24),</v>
      </c>
      <c r="F180" s="1" t="str">
        <f t="shared" si="37"/>
        <v>null,</v>
      </c>
      <c r="G180" s="1" t="s">
        <v>207</v>
      </c>
      <c r="H180" s="1" t="str">
        <f t="shared" si="38"/>
        <v>true,</v>
      </c>
      <c r="I180" s="1" t="str">
        <f t="shared" si="39"/>
        <v>false,</v>
      </c>
      <c r="J180" s="1" t="str">
        <f t="shared" si="40"/>
        <v>null,</v>
      </c>
      <c r="K180" s="1" t="str">
        <f t="shared" si="41"/>
        <v>null</v>
      </c>
      <c r="L180" s="6"/>
      <c r="M180" s="10" t="str">
        <f>_xlfn.TEXTJOIN("=",FALSE,A$2,A180)</f>
        <v>Id=178,</v>
      </c>
      <c r="N180" s="10" t="str">
        <f>_xlfn.TEXTJOIN("=",FALSE,B$2,B180)</f>
        <v>Title="نامیبیا",</v>
      </c>
      <c r="O180" s="10" t="str">
        <f>_xlfn.TEXTJOIN("=",FALSE,C$2,C180)</f>
        <v>ParentId=null,</v>
      </c>
      <c r="P180" s="10" t="str">
        <f>_xlfn.TEXTJOIN("=",FALSE,D$2,D180)</f>
        <v>Guid=Guid.Parse("69C1FD2E-2D3B-4DA5-B62B-EA5BFB964769"),</v>
      </c>
      <c r="Q180" s="10" t="str">
        <f t="shared" ca="1" si="42"/>
        <v>CreatedDate=new DateTime (2026,3,25,4,26,24),</v>
      </c>
      <c r="R180" s="10" t="str">
        <f t="shared" si="43"/>
        <v>CreatedUserId=null,</v>
      </c>
      <c r="S180" s="10" t="str">
        <f t="shared" si="44"/>
        <v>Description= "Created by seeding data",</v>
      </c>
      <c r="T180" s="10" t="str">
        <f t="shared" si="45"/>
        <v>IsActive=true,</v>
      </c>
      <c r="U180" s="10" t="str">
        <f t="shared" si="46"/>
        <v>IsDeleted=false,</v>
      </c>
      <c r="V180" s="10" t="str">
        <f t="shared" si="47"/>
        <v>LastModifiedDate=null,</v>
      </c>
      <c r="W180" s="10" t="str">
        <f t="shared" si="48"/>
        <v>LastModifiedUserId=null</v>
      </c>
      <c r="X180" s="9" t="str">
        <f t="shared" ca="1" si="49"/>
        <v>Id=178,Title="نامیبیا",ParentId=null,Guid=Guid.Parse("69C1FD2E-2D3B-4DA5-B62B-EA5BFB964769"),CreatedDate=new DateTime (2026,3,25,4,26,24),CreatedUserId=null,Description= "Created by seeding data",IsActive=true,IsDeleted=false,LastModifiedDate=null,LastModifiedUserId=null</v>
      </c>
      <c r="Y180" s="9" t="str">
        <f t="shared" ca="1" si="50"/>
        <v>new State{Id=178,Title="نامیبیا",ParentId=null,Guid=Guid.Parse("69C1FD2E-2D3B-4DA5-B62B-EA5BFB964769"),CreatedDate=new DateTime (2026,3,25,4,26,24),CreatedUserId=null,Description= "Created by seeding data",IsActive=true,IsDeleted=false,LastModifiedDate=null,LastModifiedUserId=null},</v>
      </c>
    </row>
    <row r="181" spans="1:25" x14ac:dyDescent="0.5">
      <c r="A181" s="1" t="str">
        <f t="shared" si="34"/>
        <v>179,</v>
      </c>
      <c r="B181" s="1" t="s">
        <v>190</v>
      </c>
      <c r="C181" s="1" t="str">
        <f t="shared" si="35"/>
        <v>null,</v>
      </c>
      <c r="D181" s="1" t="s">
        <v>386</v>
      </c>
      <c r="E181" s="1" t="str">
        <f t="shared" ca="1" si="36"/>
        <v>new DateTime (2026,3,25,4,26,24),</v>
      </c>
      <c r="F181" s="1" t="str">
        <f t="shared" si="37"/>
        <v>null,</v>
      </c>
      <c r="G181" s="1" t="s">
        <v>207</v>
      </c>
      <c r="H181" s="1" t="str">
        <f t="shared" si="38"/>
        <v>true,</v>
      </c>
      <c r="I181" s="1" t="str">
        <f t="shared" si="39"/>
        <v>false,</v>
      </c>
      <c r="J181" s="1" t="str">
        <f t="shared" si="40"/>
        <v>null,</v>
      </c>
      <c r="K181" s="1" t="str">
        <f t="shared" si="41"/>
        <v>null</v>
      </c>
      <c r="L181" s="6"/>
      <c r="M181" s="10" t="str">
        <f>_xlfn.TEXTJOIN("=",FALSE,A$2,A181)</f>
        <v>Id=179,</v>
      </c>
      <c r="N181" s="10" t="str">
        <f>_xlfn.TEXTJOIN("=",FALSE,B$2,B181)</f>
        <v>Title="نائورو",</v>
      </c>
      <c r="O181" s="10" t="str">
        <f>_xlfn.TEXTJOIN("=",FALSE,C$2,C181)</f>
        <v>ParentId=null,</v>
      </c>
      <c r="P181" s="10" t="str">
        <f>_xlfn.TEXTJOIN("=",FALSE,D$2,D181)</f>
        <v>Guid=Guid.Parse("B18C2F14-643C-4B3F-8B27-CD2A4B76DAD8"),</v>
      </c>
      <c r="Q181" s="10" t="str">
        <f t="shared" ca="1" si="42"/>
        <v>CreatedDate=new DateTime (2026,3,25,4,26,24),</v>
      </c>
      <c r="R181" s="10" t="str">
        <f t="shared" si="43"/>
        <v>CreatedUserId=null,</v>
      </c>
      <c r="S181" s="10" t="str">
        <f t="shared" si="44"/>
        <v>Description= "Created by seeding data",</v>
      </c>
      <c r="T181" s="10" t="str">
        <f t="shared" si="45"/>
        <v>IsActive=true,</v>
      </c>
      <c r="U181" s="10" t="str">
        <f t="shared" si="46"/>
        <v>IsDeleted=false,</v>
      </c>
      <c r="V181" s="10" t="str">
        <f t="shared" si="47"/>
        <v>LastModifiedDate=null,</v>
      </c>
      <c r="W181" s="10" t="str">
        <f t="shared" si="48"/>
        <v>LastModifiedUserId=null</v>
      </c>
      <c r="X181" s="9" t="str">
        <f t="shared" ca="1" si="49"/>
        <v>Id=179,Title="نائورو",ParentId=null,Guid=Guid.Parse("B18C2F14-643C-4B3F-8B27-CD2A4B76DAD8"),CreatedDate=new DateTime (2026,3,25,4,26,24),CreatedUserId=null,Description= "Created by seeding data",IsActive=true,IsDeleted=false,LastModifiedDate=null,LastModifiedUserId=null</v>
      </c>
      <c r="Y181" s="9" t="str">
        <f t="shared" ca="1" si="50"/>
        <v>new State{Id=179,Title="نائورو",ParentId=null,Guid=Guid.Parse("B18C2F14-643C-4B3F-8B27-CD2A4B76DAD8"),CreatedDate=new DateTime (2026,3,25,4,26,24),CreatedUserId=null,Description= "Created by seeding data",IsActive=true,IsDeleted=false,LastModifiedDate=null,LastModifiedUserId=null},</v>
      </c>
    </row>
    <row r="182" spans="1:25" x14ac:dyDescent="0.5">
      <c r="A182" s="1" t="str">
        <f t="shared" si="34"/>
        <v>180,</v>
      </c>
      <c r="B182" s="1" t="s">
        <v>191</v>
      </c>
      <c r="C182" s="1" t="str">
        <f t="shared" si="35"/>
        <v>null,</v>
      </c>
      <c r="D182" s="1" t="s">
        <v>387</v>
      </c>
      <c r="E182" s="1" t="str">
        <f t="shared" ca="1" si="36"/>
        <v>new DateTime (2026,3,25,4,26,24),</v>
      </c>
      <c r="F182" s="1" t="str">
        <f t="shared" si="37"/>
        <v>null,</v>
      </c>
      <c r="G182" s="1" t="s">
        <v>207</v>
      </c>
      <c r="H182" s="1" t="str">
        <f t="shared" si="38"/>
        <v>true,</v>
      </c>
      <c r="I182" s="1" t="str">
        <f t="shared" si="39"/>
        <v>false,</v>
      </c>
      <c r="J182" s="1" t="str">
        <f t="shared" si="40"/>
        <v>null,</v>
      </c>
      <c r="K182" s="1" t="str">
        <f t="shared" si="41"/>
        <v>null</v>
      </c>
      <c r="L182" s="6"/>
      <c r="M182" s="10" t="str">
        <f>_xlfn.TEXTJOIN("=",FALSE,A$2,A182)</f>
        <v>Id=180,</v>
      </c>
      <c r="N182" s="10" t="str">
        <f>_xlfn.TEXTJOIN("=",FALSE,B$2,B182)</f>
        <v>Title="نپال",</v>
      </c>
      <c r="O182" s="10" t="str">
        <f>_xlfn.TEXTJOIN("=",FALSE,C$2,C182)</f>
        <v>ParentId=null,</v>
      </c>
      <c r="P182" s="10" t="str">
        <f>_xlfn.TEXTJOIN("=",FALSE,D$2,D182)</f>
        <v>Guid=Guid.Parse("B1A78B07-D79B-48C3-AC33-B393CA3DA8A4"),</v>
      </c>
      <c r="Q182" s="10" t="str">
        <f t="shared" ca="1" si="42"/>
        <v>CreatedDate=new DateTime (2026,3,25,4,26,24),</v>
      </c>
      <c r="R182" s="10" t="str">
        <f t="shared" si="43"/>
        <v>CreatedUserId=null,</v>
      </c>
      <c r="S182" s="10" t="str">
        <f t="shared" si="44"/>
        <v>Description= "Created by seeding data",</v>
      </c>
      <c r="T182" s="10" t="str">
        <f t="shared" si="45"/>
        <v>IsActive=true,</v>
      </c>
      <c r="U182" s="10" t="str">
        <f t="shared" si="46"/>
        <v>IsDeleted=false,</v>
      </c>
      <c r="V182" s="10" t="str">
        <f t="shared" si="47"/>
        <v>LastModifiedDate=null,</v>
      </c>
      <c r="W182" s="10" t="str">
        <f t="shared" si="48"/>
        <v>LastModifiedUserId=null</v>
      </c>
      <c r="X182" s="9" t="str">
        <f t="shared" ca="1" si="49"/>
        <v>Id=180,Title="نپال",ParentId=null,Guid=Guid.Parse("B1A78B07-D79B-48C3-AC33-B393CA3DA8A4"),CreatedDate=new DateTime (2026,3,25,4,26,24),CreatedUserId=null,Description= "Created by seeding data",IsActive=true,IsDeleted=false,LastModifiedDate=null,LastModifiedUserId=null</v>
      </c>
      <c r="Y182" s="9" t="str">
        <f t="shared" ca="1" si="50"/>
        <v>new State{Id=180,Title="نپال",ParentId=null,Guid=Guid.Parse("B1A78B07-D79B-48C3-AC33-B393CA3DA8A4"),CreatedDate=new DateTime (2026,3,25,4,26,24),CreatedUserId=null,Description= "Created by seeding data",IsActive=true,IsDeleted=false,LastModifiedDate=null,LastModifiedUserId=null},</v>
      </c>
    </row>
    <row r="183" spans="1:25" x14ac:dyDescent="0.5">
      <c r="A183" s="1" t="str">
        <f t="shared" si="34"/>
        <v>181,</v>
      </c>
      <c r="B183" s="1" t="s">
        <v>192</v>
      </c>
      <c r="C183" s="1" t="str">
        <f t="shared" si="35"/>
        <v>null,</v>
      </c>
      <c r="D183" s="1" t="s">
        <v>388</v>
      </c>
      <c r="E183" s="1" t="str">
        <f t="shared" ca="1" si="36"/>
        <v>new DateTime (2026,3,25,4,26,24),</v>
      </c>
      <c r="F183" s="1" t="str">
        <f t="shared" si="37"/>
        <v>null,</v>
      </c>
      <c r="G183" s="1" t="s">
        <v>207</v>
      </c>
      <c r="H183" s="1" t="str">
        <f t="shared" si="38"/>
        <v>true,</v>
      </c>
      <c r="I183" s="1" t="str">
        <f t="shared" si="39"/>
        <v>false,</v>
      </c>
      <c r="J183" s="1" t="str">
        <f t="shared" si="40"/>
        <v>null,</v>
      </c>
      <c r="K183" s="1" t="str">
        <f t="shared" si="41"/>
        <v>null</v>
      </c>
      <c r="L183" s="6"/>
      <c r="M183" s="10" t="str">
        <f>_xlfn.TEXTJOIN("=",FALSE,A$2,A183)</f>
        <v>Id=181,</v>
      </c>
      <c r="N183" s="10" t="str">
        <f>_xlfn.TEXTJOIN("=",FALSE,B$2,B183)</f>
        <v>Title="نروژ",</v>
      </c>
      <c r="O183" s="10" t="str">
        <f>_xlfn.TEXTJOIN("=",FALSE,C$2,C183)</f>
        <v>ParentId=null,</v>
      </c>
      <c r="P183" s="10" t="str">
        <f>_xlfn.TEXTJOIN("=",FALSE,D$2,D183)</f>
        <v>Guid=Guid.Parse("E89B19B6-A77C-4EF4-BD05-797ABB54E91A"),</v>
      </c>
      <c r="Q183" s="10" t="str">
        <f t="shared" ca="1" si="42"/>
        <v>CreatedDate=new DateTime (2026,3,25,4,26,24),</v>
      </c>
      <c r="R183" s="10" t="str">
        <f t="shared" si="43"/>
        <v>CreatedUserId=null,</v>
      </c>
      <c r="S183" s="10" t="str">
        <f t="shared" si="44"/>
        <v>Description= "Created by seeding data",</v>
      </c>
      <c r="T183" s="10" t="str">
        <f t="shared" si="45"/>
        <v>IsActive=true,</v>
      </c>
      <c r="U183" s="10" t="str">
        <f t="shared" si="46"/>
        <v>IsDeleted=false,</v>
      </c>
      <c r="V183" s="10" t="str">
        <f t="shared" si="47"/>
        <v>LastModifiedDate=null,</v>
      </c>
      <c r="W183" s="10" t="str">
        <f t="shared" si="48"/>
        <v>LastModifiedUserId=null</v>
      </c>
      <c r="X183" s="9" t="str">
        <f t="shared" ca="1" si="49"/>
        <v>Id=181,Title="نروژ",ParentId=null,Guid=Guid.Parse("E89B19B6-A77C-4EF4-BD05-797ABB54E91A"),CreatedDate=new DateTime (2026,3,25,4,26,24),CreatedUserId=null,Description= "Created by seeding data",IsActive=true,IsDeleted=false,LastModifiedDate=null,LastModifiedUserId=null</v>
      </c>
      <c r="Y183" s="9" t="str">
        <f t="shared" ca="1" si="50"/>
        <v>new State{Id=181,Title="نروژ",ParentId=null,Guid=Guid.Parse("E89B19B6-A77C-4EF4-BD05-797ABB54E91A"),CreatedDate=new DateTime (2026,3,25,4,26,24),CreatedUserId=null,Description= "Created by seeding data",IsActive=true,IsDeleted=false,LastModifiedDate=null,LastModifiedUserId=null},</v>
      </c>
    </row>
    <row r="184" spans="1:25" x14ac:dyDescent="0.5">
      <c r="A184" s="1" t="str">
        <f t="shared" si="34"/>
        <v>182,</v>
      </c>
      <c r="B184" s="1" t="s">
        <v>193</v>
      </c>
      <c r="C184" s="1" t="str">
        <f t="shared" si="35"/>
        <v>null,</v>
      </c>
      <c r="D184" s="1" t="s">
        <v>389</v>
      </c>
      <c r="E184" s="1" t="str">
        <f t="shared" ca="1" si="36"/>
        <v>new DateTime (2026,3,25,4,26,24),</v>
      </c>
      <c r="F184" s="1" t="str">
        <f t="shared" si="37"/>
        <v>null,</v>
      </c>
      <c r="G184" s="1" t="s">
        <v>207</v>
      </c>
      <c r="H184" s="1" t="str">
        <f t="shared" si="38"/>
        <v>true,</v>
      </c>
      <c r="I184" s="1" t="str">
        <f t="shared" si="39"/>
        <v>false,</v>
      </c>
      <c r="J184" s="1" t="str">
        <f t="shared" si="40"/>
        <v>null,</v>
      </c>
      <c r="K184" s="1" t="str">
        <f t="shared" si="41"/>
        <v>null</v>
      </c>
      <c r="L184" s="6"/>
      <c r="M184" s="10" t="str">
        <f>_xlfn.TEXTJOIN("=",FALSE,A$2,A184)</f>
        <v>Id=182,</v>
      </c>
      <c r="N184" s="10" t="str">
        <f>_xlfn.TEXTJOIN("=",FALSE,B$2,B184)</f>
        <v>Title="نیجر",</v>
      </c>
      <c r="O184" s="10" t="str">
        <f>_xlfn.TEXTJOIN("=",FALSE,C$2,C184)</f>
        <v>ParentId=null,</v>
      </c>
      <c r="P184" s="10" t="str">
        <f>_xlfn.TEXTJOIN("=",FALSE,D$2,D184)</f>
        <v>Guid=Guid.Parse("4C226A21-866B-4777-9A43-C97E5FF448F9"),</v>
      </c>
      <c r="Q184" s="10" t="str">
        <f t="shared" ca="1" si="42"/>
        <v>CreatedDate=new DateTime (2026,3,25,4,26,24),</v>
      </c>
      <c r="R184" s="10" t="str">
        <f t="shared" si="43"/>
        <v>CreatedUserId=null,</v>
      </c>
      <c r="S184" s="10" t="str">
        <f t="shared" si="44"/>
        <v>Description= "Created by seeding data",</v>
      </c>
      <c r="T184" s="10" t="str">
        <f t="shared" si="45"/>
        <v>IsActive=true,</v>
      </c>
      <c r="U184" s="10" t="str">
        <f t="shared" si="46"/>
        <v>IsDeleted=false,</v>
      </c>
      <c r="V184" s="10" t="str">
        <f t="shared" si="47"/>
        <v>LastModifiedDate=null,</v>
      </c>
      <c r="W184" s="10" t="str">
        <f t="shared" si="48"/>
        <v>LastModifiedUserId=null</v>
      </c>
      <c r="X184" s="9" t="str">
        <f t="shared" ca="1" si="49"/>
        <v>Id=182,Title="نیجر",ParentId=null,Guid=Guid.Parse("4C226A21-866B-4777-9A43-C97E5FF448F9"),CreatedDate=new DateTime (2026,3,25,4,26,24),CreatedUserId=null,Description= "Created by seeding data",IsActive=true,IsDeleted=false,LastModifiedDate=null,LastModifiedUserId=null</v>
      </c>
      <c r="Y184" s="9" t="str">
        <f t="shared" ca="1" si="50"/>
        <v>new State{Id=182,Title="نیجر",ParentId=null,Guid=Guid.Parse("4C226A21-866B-4777-9A43-C97E5FF448F9"),CreatedDate=new DateTime (2026,3,25,4,26,24),CreatedUserId=null,Description= "Created by seeding data",IsActive=true,IsDeleted=false,LastModifiedDate=null,LastModifiedUserId=null},</v>
      </c>
    </row>
    <row r="185" spans="1:25" x14ac:dyDescent="0.5">
      <c r="A185" s="1" t="str">
        <f t="shared" si="34"/>
        <v>183,</v>
      </c>
      <c r="B185" s="1" t="s">
        <v>194</v>
      </c>
      <c r="C185" s="1" t="str">
        <f t="shared" si="35"/>
        <v>null,</v>
      </c>
      <c r="D185" s="1" t="s">
        <v>390</v>
      </c>
      <c r="E185" s="1" t="str">
        <f t="shared" ca="1" si="36"/>
        <v>new DateTime (2026,3,25,4,26,24),</v>
      </c>
      <c r="F185" s="1" t="str">
        <f t="shared" si="37"/>
        <v>null,</v>
      </c>
      <c r="G185" s="1" t="s">
        <v>207</v>
      </c>
      <c r="H185" s="1" t="str">
        <f t="shared" si="38"/>
        <v>true,</v>
      </c>
      <c r="I185" s="1" t="str">
        <f t="shared" si="39"/>
        <v>false,</v>
      </c>
      <c r="J185" s="1" t="str">
        <f t="shared" si="40"/>
        <v>null,</v>
      </c>
      <c r="K185" s="1" t="str">
        <f t="shared" si="41"/>
        <v>null</v>
      </c>
      <c r="L185" s="6"/>
      <c r="M185" s="10" t="str">
        <f>_xlfn.TEXTJOIN("=",FALSE,A$2,A185)</f>
        <v>Id=183,</v>
      </c>
      <c r="N185" s="10" t="str">
        <f>_xlfn.TEXTJOIN("=",FALSE,B$2,B185)</f>
        <v>Title="نیجریه",</v>
      </c>
      <c r="O185" s="10" t="str">
        <f>_xlfn.TEXTJOIN("=",FALSE,C$2,C185)</f>
        <v>ParentId=null,</v>
      </c>
      <c r="P185" s="10" t="str">
        <f>_xlfn.TEXTJOIN("=",FALSE,D$2,D185)</f>
        <v>Guid=Guid.Parse("60736172-D6A3-487A-8785-35A8E97D2693"),</v>
      </c>
      <c r="Q185" s="10" t="str">
        <f t="shared" ca="1" si="42"/>
        <v>CreatedDate=new DateTime (2026,3,25,4,26,24),</v>
      </c>
      <c r="R185" s="10" t="str">
        <f t="shared" si="43"/>
        <v>CreatedUserId=null,</v>
      </c>
      <c r="S185" s="10" t="str">
        <f t="shared" si="44"/>
        <v>Description= "Created by seeding data",</v>
      </c>
      <c r="T185" s="10" t="str">
        <f t="shared" si="45"/>
        <v>IsActive=true,</v>
      </c>
      <c r="U185" s="10" t="str">
        <f t="shared" si="46"/>
        <v>IsDeleted=false,</v>
      </c>
      <c r="V185" s="10" t="str">
        <f t="shared" si="47"/>
        <v>LastModifiedDate=null,</v>
      </c>
      <c r="W185" s="10" t="str">
        <f t="shared" si="48"/>
        <v>LastModifiedUserId=null</v>
      </c>
      <c r="X185" s="9" t="str">
        <f t="shared" ca="1" si="49"/>
        <v>Id=183,Title="نیجریه",ParentId=null,Guid=Guid.Parse("60736172-D6A3-487A-8785-35A8E97D2693"),CreatedDate=new DateTime (2026,3,25,4,26,24),CreatedUserId=null,Description= "Created by seeding data",IsActive=true,IsDeleted=false,LastModifiedDate=null,LastModifiedUserId=null</v>
      </c>
      <c r="Y185" s="9" t="str">
        <f t="shared" ca="1" si="50"/>
        <v>new State{Id=183,Title="نیجریه",ParentId=null,Guid=Guid.Parse("60736172-D6A3-487A-8785-35A8E97D2693"),CreatedDate=new DateTime (2026,3,25,4,26,24),CreatedUserId=null,Description= "Created by seeding data",IsActive=true,IsDeleted=false,LastModifiedDate=null,LastModifiedUserId=null},</v>
      </c>
    </row>
    <row r="186" spans="1:25" x14ac:dyDescent="0.5">
      <c r="A186" s="1" t="str">
        <f t="shared" si="34"/>
        <v>184,</v>
      </c>
      <c r="B186" s="1" t="s">
        <v>195</v>
      </c>
      <c r="C186" s="1" t="str">
        <f t="shared" si="35"/>
        <v>null,</v>
      </c>
      <c r="D186" s="1" t="s">
        <v>391</v>
      </c>
      <c r="E186" s="1" t="str">
        <f t="shared" ca="1" si="36"/>
        <v>new DateTime (2026,3,25,4,26,24),</v>
      </c>
      <c r="F186" s="1" t="str">
        <f t="shared" si="37"/>
        <v>null,</v>
      </c>
      <c r="G186" s="1" t="s">
        <v>207</v>
      </c>
      <c r="H186" s="1" t="str">
        <f t="shared" si="38"/>
        <v>true,</v>
      </c>
      <c r="I186" s="1" t="str">
        <f t="shared" si="39"/>
        <v>false,</v>
      </c>
      <c r="J186" s="1" t="str">
        <f t="shared" si="40"/>
        <v>null,</v>
      </c>
      <c r="K186" s="1" t="str">
        <f t="shared" si="41"/>
        <v>null</v>
      </c>
      <c r="L186" s="6"/>
      <c r="M186" s="10" t="str">
        <f>_xlfn.TEXTJOIN("=",FALSE,A$2,A186)</f>
        <v>Id=184,</v>
      </c>
      <c r="N186" s="10" t="str">
        <f>_xlfn.TEXTJOIN("=",FALSE,B$2,B186)</f>
        <v>Title="نیکاراگوئه",</v>
      </c>
      <c r="O186" s="10" t="str">
        <f>_xlfn.TEXTJOIN("=",FALSE,C$2,C186)</f>
        <v>ParentId=null,</v>
      </c>
      <c r="P186" s="10" t="str">
        <f>_xlfn.TEXTJOIN("=",FALSE,D$2,D186)</f>
        <v>Guid=Guid.Parse("E77738D8-19EB-47F9-8528-F017D24CEDD4"),</v>
      </c>
      <c r="Q186" s="10" t="str">
        <f t="shared" ca="1" si="42"/>
        <v>CreatedDate=new DateTime (2026,3,25,4,26,24),</v>
      </c>
      <c r="R186" s="10" t="str">
        <f t="shared" si="43"/>
        <v>CreatedUserId=null,</v>
      </c>
      <c r="S186" s="10" t="str">
        <f t="shared" si="44"/>
        <v>Description= "Created by seeding data",</v>
      </c>
      <c r="T186" s="10" t="str">
        <f t="shared" si="45"/>
        <v>IsActive=true,</v>
      </c>
      <c r="U186" s="10" t="str">
        <f t="shared" si="46"/>
        <v>IsDeleted=false,</v>
      </c>
      <c r="V186" s="10" t="str">
        <f t="shared" si="47"/>
        <v>LastModifiedDate=null,</v>
      </c>
      <c r="W186" s="10" t="str">
        <f t="shared" si="48"/>
        <v>LastModifiedUserId=null</v>
      </c>
      <c r="X186" s="9" t="str">
        <f t="shared" ca="1" si="49"/>
        <v>Id=184,Title="نیکاراگوئه",ParentId=null,Guid=Guid.Parse("E77738D8-19EB-47F9-8528-F017D24CEDD4"),CreatedDate=new DateTime (2026,3,25,4,26,24),CreatedUserId=null,Description= "Created by seeding data",IsActive=true,IsDeleted=false,LastModifiedDate=null,LastModifiedUserId=null</v>
      </c>
      <c r="Y186" s="9" t="str">
        <f t="shared" ca="1" si="50"/>
        <v>new State{Id=184,Title="نیکاراگوئه",ParentId=null,Guid=Guid.Parse("E77738D8-19EB-47F9-8528-F017D24CEDD4"),CreatedDate=new DateTime (2026,3,25,4,26,24),CreatedUserId=null,Description= "Created by seeding data",IsActive=true,IsDeleted=false,LastModifiedDate=null,LastModifiedUserId=null},</v>
      </c>
    </row>
    <row r="187" spans="1:25" x14ac:dyDescent="0.5">
      <c r="A187" s="1" t="str">
        <f t="shared" si="34"/>
        <v>185,</v>
      </c>
      <c r="B187" s="1" t="s">
        <v>196</v>
      </c>
      <c r="C187" s="1" t="str">
        <f t="shared" si="35"/>
        <v>null,</v>
      </c>
      <c r="D187" s="1" t="s">
        <v>392</v>
      </c>
      <c r="E187" s="1" t="str">
        <f t="shared" ca="1" si="36"/>
        <v>new DateTime (2026,3,25,4,26,24),</v>
      </c>
      <c r="F187" s="1" t="str">
        <f t="shared" si="37"/>
        <v>null,</v>
      </c>
      <c r="G187" s="1" t="s">
        <v>207</v>
      </c>
      <c r="H187" s="1" t="str">
        <f t="shared" si="38"/>
        <v>true,</v>
      </c>
      <c r="I187" s="1" t="str">
        <f t="shared" si="39"/>
        <v>false,</v>
      </c>
      <c r="J187" s="1" t="str">
        <f t="shared" si="40"/>
        <v>null,</v>
      </c>
      <c r="K187" s="1" t="str">
        <f t="shared" si="41"/>
        <v>null</v>
      </c>
      <c r="L187" s="6"/>
      <c r="M187" s="10" t="str">
        <f>_xlfn.TEXTJOIN("=",FALSE,A$2,A187)</f>
        <v>Id=185,</v>
      </c>
      <c r="N187" s="10" t="str">
        <f>_xlfn.TEXTJOIN("=",FALSE,B$2,B187)</f>
        <v>Title="نیوزیلند",</v>
      </c>
      <c r="O187" s="10" t="str">
        <f>_xlfn.TEXTJOIN("=",FALSE,C$2,C187)</f>
        <v>ParentId=null,</v>
      </c>
      <c r="P187" s="10" t="str">
        <f>_xlfn.TEXTJOIN("=",FALSE,D$2,D187)</f>
        <v>Guid=Guid.Parse("C84CA578-64E7-48A4-A51F-819981F235C0"),</v>
      </c>
      <c r="Q187" s="10" t="str">
        <f t="shared" ca="1" si="42"/>
        <v>CreatedDate=new DateTime (2026,3,25,4,26,24),</v>
      </c>
      <c r="R187" s="10" t="str">
        <f t="shared" si="43"/>
        <v>CreatedUserId=null,</v>
      </c>
      <c r="S187" s="10" t="str">
        <f t="shared" si="44"/>
        <v>Description= "Created by seeding data",</v>
      </c>
      <c r="T187" s="10" t="str">
        <f t="shared" si="45"/>
        <v>IsActive=true,</v>
      </c>
      <c r="U187" s="10" t="str">
        <f t="shared" si="46"/>
        <v>IsDeleted=false,</v>
      </c>
      <c r="V187" s="10" t="str">
        <f t="shared" si="47"/>
        <v>LastModifiedDate=null,</v>
      </c>
      <c r="W187" s="10" t="str">
        <f t="shared" si="48"/>
        <v>LastModifiedUserId=null</v>
      </c>
      <c r="X187" s="9" t="str">
        <f t="shared" ca="1" si="49"/>
        <v>Id=185,Title="نیوزیلند",ParentId=null,Guid=Guid.Parse("C84CA578-64E7-48A4-A51F-819981F235C0"),CreatedDate=new DateTime (2026,3,25,4,26,24),CreatedUserId=null,Description= "Created by seeding data",IsActive=true,IsDeleted=false,LastModifiedDate=null,LastModifiedUserId=null</v>
      </c>
      <c r="Y187" s="9" t="str">
        <f t="shared" ca="1" si="50"/>
        <v>new State{Id=185,Title="نیوزیلند",ParentId=null,Guid=Guid.Parse("C84CA578-64E7-48A4-A51F-819981F235C0"),CreatedDate=new DateTime (2026,3,25,4,26,24),CreatedUserId=null,Description= "Created by seeding data",IsActive=true,IsDeleted=false,LastModifiedDate=null,LastModifiedUserId=null},</v>
      </c>
    </row>
    <row r="188" spans="1:25" x14ac:dyDescent="0.5">
      <c r="A188" s="1" t="str">
        <f t="shared" si="34"/>
        <v>186,</v>
      </c>
      <c r="B188" s="1" t="s">
        <v>197</v>
      </c>
      <c r="C188" s="1" t="str">
        <f t="shared" si="35"/>
        <v>null,</v>
      </c>
      <c r="D188" s="1" t="s">
        <v>393</v>
      </c>
      <c r="E188" s="1" t="str">
        <f t="shared" ca="1" si="36"/>
        <v>new DateTime (2026,3,25,4,26,24),</v>
      </c>
      <c r="F188" s="1" t="str">
        <f t="shared" si="37"/>
        <v>null,</v>
      </c>
      <c r="G188" s="1" t="s">
        <v>207</v>
      </c>
      <c r="H188" s="1" t="str">
        <f t="shared" si="38"/>
        <v>true,</v>
      </c>
      <c r="I188" s="1" t="str">
        <f t="shared" si="39"/>
        <v>false,</v>
      </c>
      <c r="J188" s="1" t="str">
        <f t="shared" si="40"/>
        <v>null,</v>
      </c>
      <c r="K188" s="1" t="str">
        <f t="shared" si="41"/>
        <v>null</v>
      </c>
      <c r="L188" s="6"/>
      <c r="M188" s="10" t="str">
        <f>_xlfn.TEXTJOIN("=",FALSE,A$2,A188)</f>
        <v>Id=186,</v>
      </c>
      <c r="N188" s="10" t="str">
        <f>_xlfn.TEXTJOIN("=",FALSE,B$2,B188)</f>
        <v>Title="هائیتی",</v>
      </c>
      <c r="O188" s="10" t="str">
        <f>_xlfn.TEXTJOIN("=",FALSE,C$2,C188)</f>
        <v>ParentId=null,</v>
      </c>
      <c r="P188" s="10" t="str">
        <f>_xlfn.TEXTJOIN("=",FALSE,D$2,D188)</f>
        <v>Guid=Guid.Parse("87AA5985-0DFF-4697-87BB-8D8B262D76BF"),</v>
      </c>
      <c r="Q188" s="10" t="str">
        <f t="shared" ca="1" si="42"/>
        <v>CreatedDate=new DateTime (2026,3,25,4,26,24),</v>
      </c>
      <c r="R188" s="10" t="str">
        <f t="shared" si="43"/>
        <v>CreatedUserId=null,</v>
      </c>
      <c r="S188" s="10" t="str">
        <f t="shared" si="44"/>
        <v>Description= "Created by seeding data",</v>
      </c>
      <c r="T188" s="10" t="str">
        <f t="shared" si="45"/>
        <v>IsActive=true,</v>
      </c>
      <c r="U188" s="10" t="str">
        <f t="shared" si="46"/>
        <v>IsDeleted=false,</v>
      </c>
      <c r="V188" s="10" t="str">
        <f t="shared" si="47"/>
        <v>LastModifiedDate=null,</v>
      </c>
      <c r="W188" s="10" t="str">
        <f t="shared" si="48"/>
        <v>LastModifiedUserId=null</v>
      </c>
      <c r="X188" s="9" t="str">
        <f t="shared" ca="1" si="49"/>
        <v>Id=186,Title="هائیتی",ParentId=null,Guid=Guid.Parse("87AA5985-0DFF-4697-87BB-8D8B262D76BF"),CreatedDate=new DateTime (2026,3,25,4,26,24),CreatedUserId=null,Description= "Created by seeding data",IsActive=true,IsDeleted=false,LastModifiedDate=null,LastModifiedUserId=null</v>
      </c>
      <c r="Y188" s="9" t="str">
        <f t="shared" ca="1" si="50"/>
        <v>new State{Id=186,Title="هائیتی",ParentId=null,Guid=Guid.Parse("87AA5985-0DFF-4697-87BB-8D8B262D76BF"),CreatedDate=new DateTime (2026,3,25,4,26,24),CreatedUserId=null,Description= "Created by seeding data",IsActive=true,IsDeleted=false,LastModifiedDate=null,LastModifiedUserId=null},</v>
      </c>
    </row>
    <row r="189" spans="1:25" x14ac:dyDescent="0.5">
      <c r="A189" s="1" t="str">
        <f t="shared" si="34"/>
        <v>187,</v>
      </c>
      <c r="B189" s="1" t="s">
        <v>198</v>
      </c>
      <c r="C189" s="1" t="str">
        <f t="shared" si="35"/>
        <v>null,</v>
      </c>
      <c r="D189" s="1" t="s">
        <v>394</v>
      </c>
      <c r="E189" s="1" t="str">
        <f t="shared" ca="1" si="36"/>
        <v>new DateTime (2026,3,25,4,26,24),</v>
      </c>
      <c r="F189" s="1" t="str">
        <f t="shared" si="37"/>
        <v>null,</v>
      </c>
      <c r="G189" s="1" t="s">
        <v>207</v>
      </c>
      <c r="H189" s="1" t="str">
        <f t="shared" si="38"/>
        <v>true,</v>
      </c>
      <c r="I189" s="1" t="str">
        <f t="shared" si="39"/>
        <v>false,</v>
      </c>
      <c r="J189" s="1" t="str">
        <f t="shared" si="40"/>
        <v>null,</v>
      </c>
      <c r="K189" s="1" t="str">
        <f t="shared" si="41"/>
        <v>null</v>
      </c>
      <c r="L189" s="6"/>
      <c r="M189" s="10" t="str">
        <f>_xlfn.TEXTJOIN("=",FALSE,A$2,A189)</f>
        <v>Id=187,</v>
      </c>
      <c r="N189" s="10" t="str">
        <f>_xlfn.TEXTJOIN("=",FALSE,B$2,B189)</f>
        <v>Title="هلند",</v>
      </c>
      <c r="O189" s="10" t="str">
        <f>_xlfn.TEXTJOIN("=",FALSE,C$2,C189)</f>
        <v>ParentId=null,</v>
      </c>
      <c r="P189" s="10" t="str">
        <f>_xlfn.TEXTJOIN("=",FALSE,D$2,D189)</f>
        <v>Guid=Guid.Parse("54DE3018-D48F-43A4-B903-3C0BF4B12F18"),</v>
      </c>
      <c r="Q189" s="10" t="str">
        <f t="shared" ca="1" si="42"/>
        <v>CreatedDate=new DateTime (2026,3,25,4,26,24),</v>
      </c>
      <c r="R189" s="10" t="str">
        <f t="shared" si="43"/>
        <v>CreatedUserId=null,</v>
      </c>
      <c r="S189" s="10" t="str">
        <f t="shared" si="44"/>
        <v>Description= "Created by seeding data",</v>
      </c>
      <c r="T189" s="10" t="str">
        <f t="shared" si="45"/>
        <v>IsActive=true,</v>
      </c>
      <c r="U189" s="10" t="str">
        <f t="shared" si="46"/>
        <v>IsDeleted=false,</v>
      </c>
      <c r="V189" s="10" t="str">
        <f t="shared" si="47"/>
        <v>LastModifiedDate=null,</v>
      </c>
      <c r="W189" s="10" t="str">
        <f t="shared" si="48"/>
        <v>LastModifiedUserId=null</v>
      </c>
      <c r="X189" s="9" t="str">
        <f t="shared" ca="1" si="49"/>
        <v>Id=187,Title="هلند",ParentId=null,Guid=Guid.Parse("54DE3018-D48F-43A4-B903-3C0BF4B12F18"),CreatedDate=new DateTime (2026,3,25,4,26,24),CreatedUserId=null,Description= "Created by seeding data",IsActive=true,IsDeleted=false,LastModifiedDate=null,LastModifiedUserId=null</v>
      </c>
      <c r="Y189" s="9" t="str">
        <f t="shared" ca="1" si="50"/>
        <v>new State{Id=187,Title="هلند",ParentId=null,Guid=Guid.Parse("54DE3018-D48F-43A4-B903-3C0BF4B12F18"),CreatedDate=new DateTime (2026,3,25,4,26,24),CreatedUserId=null,Description= "Created by seeding data",IsActive=true,IsDeleted=false,LastModifiedDate=null,LastModifiedUserId=null},</v>
      </c>
    </row>
    <row r="190" spans="1:25" x14ac:dyDescent="0.5">
      <c r="A190" s="1" t="str">
        <f t="shared" si="34"/>
        <v>188,</v>
      </c>
      <c r="B190" s="1" t="s">
        <v>199</v>
      </c>
      <c r="C190" s="1" t="str">
        <f t="shared" si="35"/>
        <v>null,</v>
      </c>
      <c r="D190" s="1" t="s">
        <v>395</v>
      </c>
      <c r="E190" s="1" t="str">
        <f t="shared" ca="1" si="36"/>
        <v>new DateTime (2026,3,25,4,26,24),</v>
      </c>
      <c r="F190" s="1" t="str">
        <f t="shared" si="37"/>
        <v>null,</v>
      </c>
      <c r="G190" s="1" t="s">
        <v>207</v>
      </c>
      <c r="H190" s="1" t="str">
        <f t="shared" si="38"/>
        <v>true,</v>
      </c>
      <c r="I190" s="1" t="str">
        <f t="shared" si="39"/>
        <v>false,</v>
      </c>
      <c r="J190" s="1" t="str">
        <f t="shared" si="40"/>
        <v>null,</v>
      </c>
      <c r="K190" s="1" t="str">
        <f t="shared" si="41"/>
        <v>null</v>
      </c>
      <c r="L190" s="6"/>
      <c r="M190" s="10" t="str">
        <f>_xlfn.TEXTJOIN("=",FALSE,A$2,A190)</f>
        <v>Id=188,</v>
      </c>
      <c r="N190" s="10" t="str">
        <f>_xlfn.TEXTJOIN("=",FALSE,B$2,B190)</f>
        <v>Title="هند",</v>
      </c>
      <c r="O190" s="10" t="str">
        <f>_xlfn.TEXTJOIN("=",FALSE,C$2,C190)</f>
        <v>ParentId=null,</v>
      </c>
      <c r="P190" s="10" t="str">
        <f>_xlfn.TEXTJOIN("=",FALSE,D$2,D190)</f>
        <v>Guid=Guid.Parse("07E8BC73-693D-4791-9F02-F0AB22E1C804"),</v>
      </c>
      <c r="Q190" s="10" t="str">
        <f t="shared" ca="1" si="42"/>
        <v>CreatedDate=new DateTime (2026,3,25,4,26,24),</v>
      </c>
      <c r="R190" s="10" t="str">
        <f t="shared" si="43"/>
        <v>CreatedUserId=null,</v>
      </c>
      <c r="S190" s="10" t="str">
        <f t="shared" si="44"/>
        <v>Description= "Created by seeding data",</v>
      </c>
      <c r="T190" s="10" t="str">
        <f t="shared" si="45"/>
        <v>IsActive=true,</v>
      </c>
      <c r="U190" s="10" t="str">
        <f t="shared" si="46"/>
        <v>IsDeleted=false,</v>
      </c>
      <c r="V190" s="10" t="str">
        <f t="shared" si="47"/>
        <v>LastModifiedDate=null,</v>
      </c>
      <c r="W190" s="10" t="str">
        <f t="shared" si="48"/>
        <v>LastModifiedUserId=null</v>
      </c>
      <c r="X190" s="9" t="str">
        <f t="shared" ca="1" si="49"/>
        <v>Id=188,Title="هند",ParentId=null,Guid=Guid.Parse("07E8BC73-693D-4791-9F02-F0AB22E1C804"),CreatedDate=new DateTime (2026,3,25,4,26,24),CreatedUserId=null,Description= "Created by seeding data",IsActive=true,IsDeleted=false,LastModifiedDate=null,LastModifiedUserId=null</v>
      </c>
      <c r="Y190" s="9" t="str">
        <f t="shared" ca="1" si="50"/>
        <v>new State{Id=188,Title="هند",ParentId=null,Guid=Guid.Parse("07E8BC73-693D-4791-9F02-F0AB22E1C804"),CreatedDate=new DateTime (2026,3,25,4,26,24),CreatedUserId=null,Description= "Created by seeding data",IsActive=true,IsDeleted=false,LastModifiedDate=null,LastModifiedUserId=null},</v>
      </c>
    </row>
    <row r="191" spans="1:25" x14ac:dyDescent="0.5">
      <c r="A191" s="1" t="str">
        <f t="shared" si="34"/>
        <v>189,</v>
      </c>
      <c r="B191" s="1" t="s">
        <v>200</v>
      </c>
      <c r="C191" s="1" t="str">
        <f t="shared" si="35"/>
        <v>null,</v>
      </c>
      <c r="D191" s="1" t="s">
        <v>396</v>
      </c>
      <c r="E191" s="1" t="str">
        <f t="shared" ca="1" si="36"/>
        <v>new DateTime (2026,3,25,4,26,24),</v>
      </c>
      <c r="F191" s="1" t="str">
        <f t="shared" si="37"/>
        <v>null,</v>
      </c>
      <c r="G191" s="1" t="s">
        <v>207</v>
      </c>
      <c r="H191" s="1" t="str">
        <f t="shared" si="38"/>
        <v>true,</v>
      </c>
      <c r="I191" s="1" t="str">
        <f t="shared" si="39"/>
        <v>false,</v>
      </c>
      <c r="J191" s="1" t="str">
        <f t="shared" si="40"/>
        <v>null,</v>
      </c>
      <c r="K191" s="1" t="str">
        <f t="shared" si="41"/>
        <v>null</v>
      </c>
      <c r="L191" s="6"/>
      <c r="M191" s="10" t="str">
        <f>_xlfn.TEXTJOIN("=",FALSE,A$2,A191)</f>
        <v>Id=189,</v>
      </c>
      <c r="N191" s="10" t="str">
        <f>_xlfn.TEXTJOIN("=",FALSE,B$2,B191)</f>
        <v>Title="هندوراس",</v>
      </c>
      <c r="O191" s="10" t="str">
        <f>_xlfn.TEXTJOIN("=",FALSE,C$2,C191)</f>
        <v>ParentId=null,</v>
      </c>
      <c r="P191" s="10" t="str">
        <f>_xlfn.TEXTJOIN("=",FALSE,D$2,D191)</f>
        <v>Guid=Guid.Parse("8C4A1F30-4E9A-4441-9F28-DACEE01B79BF"),</v>
      </c>
      <c r="Q191" s="10" t="str">
        <f t="shared" ca="1" si="42"/>
        <v>CreatedDate=new DateTime (2026,3,25,4,26,24),</v>
      </c>
      <c r="R191" s="10" t="str">
        <f t="shared" si="43"/>
        <v>CreatedUserId=null,</v>
      </c>
      <c r="S191" s="10" t="str">
        <f t="shared" si="44"/>
        <v>Description= "Created by seeding data",</v>
      </c>
      <c r="T191" s="10" t="str">
        <f t="shared" si="45"/>
        <v>IsActive=true,</v>
      </c>
      <c r="U191" s="10" t="str">
        <f t="shared" si="46"/>
        <v>IsDeleted=false,</v>
      </c>
      <c r="V191" s="10" t="str">
        <f t="shared" si="47"/>
        <v>LastModifiedDate=null,</v>
      </c>
      <c r="W191" s="10" t="str">
        <f t="shared" si="48"/>
        <v>LastModifiedUserId=null</v>
      </c>
      <c r="X191" s="9" t="str">
        <f t="shared" ca="1" si="49"/>
        <v>Id=189,Title="هندوراس",ParentId=null,Guid=Guid.Parse("8C4A1F30-4E9A-4441-9F28-DACEE01B79BF"),CreatedDate=new DateTime (2026,3,25,4,26,24),CreatedUserId=null,Description= "Created by seeding data",IsActive=true,IsDeleted=false,LastModifiedDate=null,LastModifiedUserId=null</v>
      </c>
      <c r="Y191" s="9" t="str">
        <f t="shared" ca="1" si="50"/>
        <v>new State{Id=189,Title="هندوراس",ParentId=null,Guid=Guid.Parse("8C4A1F30-4E9A-4441-9F28-DACEE01B79BF"),CreatedDate=new DateTime (2026,3,25,4,26,24),CreatedUserId=null,Description= "Created by seeding data",IsActive=true,IsDeleted=false,LastModifiedDate=null,LastModifiedUserId=null},</v>
      </c>
    </row>
    <row r="192" spans="1:25" x14ac:dyDescent="0.5">
      <c r="A192" s="1" t="str">
        <f t="shared" si="34"/>
        <v>190,</v>
      </c>
      <c r="B192" s="1" t="s">
        <v>201</v>
      </c>
      <c r="C192" s="1" t="str">
        <f t="shared" si="35"/>
        <v>null,</v>
      </c>
      <c r="D192" s="1" t="s">
        <v>397</v>
      </c>
      <c r="E192" s="1" t="str">
        <f t="shared" ca="1" si="36"/>
        <v>new DateTime (2026,3,25,4,26,24),</v>
      </c>
      <c r="F192" s="1" t="str">
        <f t="shared" si="37"/>
        <v>null,</v>
      </c>
      <c r="G192" s="1" t="s">
        <v>207</v>
      </c>
      <c r="H192" s="1" t="str">
        <f t="shared" si="38"/>
        <v>true,</v>
      </c>
      <c r="I192" s="1" t="str">
        <f t="shared" si="39"/>
        <v>false,</v>
      </c>
      <c r="J192" s="1" t="str">
        <f t="shared" si="40"/>
        <v>null,</v>
      </c>
      <c r="K192" s="1" t="str">
        <f t="shared" si="41"/>
        <v>null</v>
      </c>
      <c r="L192" s="6"/>
      <c r="M192" s="10" t="str">
        <f>_xlfn.TEXTJOIN("=",FALSE,A$2,A192)</f>
        <v>Id=190,</v>
      </c>
      <c r="N192" s="10" t="str">
        <f>_xlfn.TEXTJOIN("=",FALSE,B$2,B192)</f>
        <v>Title="واتیکان",</v>
      </c>
      <c r="O192" s="10" t="str">
        <f>_xlfn.TEXTJOIN("=",FALSE,C$2,C192)</f>
        <v>ParentId=null,</v>
      </c>
      <c r="P192" s="10" t="str">
        <f>_xlfn.TEXTJOIN("=",FALSE,D$2,D192)</f>
        <v>Guid=Guid.Parse("9319055F-BC38-46DC-90C0-98A6CA3FB306"),</v>
      </c>
      <c r="Q192" s="10" t="str">
        <f t="shared" ca="1" si="42"/>
        <v>CreatedDate=new DateTime (2026,3,25,4,26,24),</v>
      </c>
      <c r="R192" s="10" t="str">
        <f t="shared" si="43"/>
        <v>CreatedUserId=null,</v>
      </c>
      <c r="S192" s="10" t="str">
        <f t="shared" si="44"/>
        <v>Description= "Created by seeding data",</v>
      </c>
      <c r="T192" s="10" t="str">
        <f t="shared" si="45"/>
        <v>IsActive=true,</v>
      </c>
      <c r="U192" s="10" t="str">
        <f t="shared" si="46"/>
        <v>IsDeleted=false,</v>
      </c>
      <c r="V192" s="10" t="str">
        <f t="shared" si="47"/>
        <v>LastModifiedDate=null,</v>
      </c>
      <c r="W192" s="10" t="str">
        <f t="shared" si="48"/>
        <v>LastModifiedUserId=null</v>
      </c>
      <c r="X192" s="9" t="str">
        <f t="shared" ca="1" si="49"/>
        <v>Id=190,Title="واتیکان",ParentId=null,Guid=Guid.Parse("9319055F-BC38-46DC-90C0-98A6CA3FB306"),CreatedDate=new DateTime (2026,3,25,4,26,24),CreatedUserId=null,Description= "Created by seeding data",IsActive=true,IsDeleted=false,LastModifiedDate=null,LastModifiedUserId=null</v>
      </c>
      <c r="Y192" s="9" t="str">
        <f t="shared" ca="1" si="50"/>
        <v>new State{Id=190,Title="واتیکان",ParentId=null,Guid=Guid.Parse("9319055F-BC38-46DC-90C0-98A6CA3FB306"),CreatedDate=new DateTime (2026,3,25,4,26,24),CreatedUserId=null,Description= "Created by seeding data",IsActive=true,IsDeleted=false,LastModifiedDate=null,LastModifiedUserId=null},</v>
      </c>
    </row>
    <row r="193" spans="1:25" x14ac:dyDescent="0.5">
      <c r="A193" s="1" t="str">
        <f t="shared" si="34"/>
        <v>191,</v>
      </c>
      <c r="B193" s="1" t="s">
        <v>202</v>
      </c>
      <c r="C193" s="1" t="str">
        <f t="shared" si="35"/>
        <v>null,</v>
      </c>
      <c r="D193" s="1" t="s">
        <v>398</v>
      </c>
      <c r="E193" s="1" t="str">
        <f t="shared" ca="1" si="36"/>
        <v>new DateTime (2026,3,25,4,26,24),</v>
      </c>
      <c r="F193" s="1" t="str">
        <f t="shared" si="37"/>
        <v>null,</v>
      </c>
      <c r="G193" s="1" t="s">
        <v>207</v>
      </c>
      <c r="H193" s="1" t="str">
        <f t="shared" si="38"/>
        <v>true,</v>
      </c>
      <c r="I193" s="1" t="str">
        <f t="shared" si="39"/>
        <v>false,</v>
      </c>
      <c r="J193" s="1" t="str">
        <f t="shared" si="40"/>
        <v>null,</v>
      </c>
      <c r="K193" s="1" t="str">
        <f t="shared" si="41"/>
        <v>null</v>
      </c>
      <c r="L193" s="6"/>
      <c r="M193" s="10" t="str">
        <f>_xlfn.TEXTJOIN("=",FALSE,A$2,A193)</f>
        <v>Id=191,</v>
      </c>
      <c r="N193" s="10" t="str">
        <f>_xlfn.TEXTJOIN("=",FALSE,B$2,B193)</f>
        <v>Title="وانواتو",</v>
      </c>
      <c r="O193" s="10" t="str">
        <f>_xlfn.TEXTJOIN("=",FALSE,C$2,C193)</f>
        <v>ParentId=null,</v>
      </c>
      <c r="P193" s="10" t="str">
        <f>_xlfn.TEXTJOIN("=",FALSE,D$2,D193)</f>
        <v>Guid=Guid.Parse("A92D7141-0D95-4373-AD63-61E329885A4C"),</v>
      </c>
      <c r="Q193" s="10" t="str">
        <f t="shared" ca="1" si="42"/>
        <v>CreatedDate=new DateTime (2026,3,25,4,26,24),</v>
      </c>
      <c r="R193" s="10" t="str">
        <f t="shared" si="43"/>
        <v>CreatedUserId=null,</v>
      </c>
      <c r="S193" s="10" t="str">
        <f t="shared" si="44"/>
        <v>Description= "Created by seeding data",</v>
      </c>
      <c r="T193" s="10" t="str">
        <f t="shared" si="45"/>
        <v>IsActive=true,</v>
      </c>
      <c r="U193" s="10" t="str">
        <f t="shared" si="46"/>
        <v>IsDeleted=false,</v>
      </c>
      <c r="V193" s="10" t="str">
        <f t="shared" si="47"/>
        <v>LastModifiedDate=null,</v>
      </c>
      <c r="W193" s="10" t="str">
        <f t="shared" si="48"/>
        <v>LastModifiedUserId=null</v>
      </c>
      <c r="X193" s="9" t="str">
        <f t="shared" ca="1" si="49"/>
        <v>Id=191,Title="وانواتو",ParentId=null,Guid=Guid.Parse("A92D7141-0D95-4373-AD63-61E329885A4C"),CreatedDate=new DateTime (2026,3,25,4,26,24),CreatedUserId=null,Description= "Created by seeding data",IsActive=true,IsDeleted=false,LastModifiedDate=null,LastModifiedUserId=null</v>
      </c>
      <c r="Y193" s="9" t="str">
        <f t="shared" ca="1" si="50"/>
        <v>new State{Id=191,Title="وانواتو",ParentId=null,Guid=Guid.Parse("A92D7141-0D95-4373-AD63-61E329885A4C"),CreatedDate=new DateTime (2026,3,25,4,26,24),CreatedUserId=null,Description= "Created by seeding data",IsActive=true,IsDeleted=false,LastModifiedDate=null,LastModifiedUserId=null},</v>
      </c>
    </row>
    <row r="194" spans="1:25" x14ac:dyDescent="0.5">
      <c r="A194" s="1" t="str">
        <f t="shared" si="34"/>
        <v>192,</v>
      </c>
      <c r="B194" s="1" t="s">
        <v>203</v>
      </c>
      <c r="C194" s="1" t="str">
        <f t="shared" si="35"/>
        <v>null,</v>
      </c>
      <c r="D194" s="1" t="s">
        <v>399</v>
      </c>
      <c r="E194" s="1" t="str">
        <f t="shared" ca="1" si="36"/>
        <v>new DateTime (2026,3,25,4,26,24),</v>
      </c>
      <c r="F194" s="1" t="str">
        <f t="shared" si="37"/>
        <v>null,</v>
      </c>
      <c r="G194" s="1" t="s">
        <v>207</v>
      </c>
      <c r="H194" s="1" t="str">
        <f t="shared" si="38"/>
        <v>true,</v>
      </c>
      <c r="I194" s="1" t="str">
        <f t="shared" si="39"/>
        <v>false,</v>
      </c>
      <c r="J194" s="1" t="str">
        <f t="shared" si="40"/>
        <v>null,</v>
      </c>
      <c r="K194" s="1" t="str">
        <f t="shared" si="41"/>
        <v>null</v>
      </c>
      <c r="L194" s="6"/>
      <c r="M194" s="10" t="str">
        <f>_xlfn.TEXTJOIN("=",FALSE,A$2,A194)</f>
        <v>Id=192,</v>
      </c>
      <c r="N194" s="10" t="str">
        <f>_xlfn.TEXTJOIN("=",FALSE,B$2,B194)</f>
        <v>Title="ونزوئلا",</v>
      </c>
      <c r="O194" s="10" t="str">
        <f>_xlfn.TEXTJOIN("=",FALSE,C$2,C194)</f>
        <v>ParentId=null,</v>
      </c>
      <c r="P194" s="10" t="str">
        <f>_xlfn.TEXTJOIN("=",FALSE,D$2,D194)</f>
        <v>Guid=Guid.Parse("553D7DCF-11A3-4E18-AAA8-62DB8D2D625D"),</v>
      </c>
      <c r="Q194" s="10" t="str">
        <f t="shared" ca="1" si="42"/>
        <v>CreatedDate=new DateTime (2026,3,25,4,26,24),</v>
      </c>
      <c r="R194" s="10" t="str">
        <f t="shared" si="43"/>
        <v>CreatedUserId=null,</v>
      </c>
      <c r="S194" s="10" t="str">
        <f t="shared" si="44"/>
        <v>Description= "Created by seeding data",</v>
      </c>
      <c r="T194" s="10" t="str">
        <f t="shared" si="45"/>
        <v>IsActive=true,</v>
      </c>
      <c r="U194" s="10" t="str">
        <f t="shared" si="46"/>
        <v>IsDeleted=false,</v>
      </c>
      <c r="V194" s="10" t="str">
        <f t="shared" si="47"/>
        <v>LastModifiedDate=null,</v>
      </c>
      <c r="W194" s="10" t="str">
        <f t="shared" si="48"/>
        <v>LastModifiedUserId=null</v>
      </c>
      <c r="X194" s="9" t="str">
        <f t="shared" ca="1" si="49"/>
        <v>Id=192,Title="ونزوئلا",ParentId=null,Guid=Guid.Parse("553D7DCF-11A3-4E18-AAA8-62DB8D2D625D"),CreatedDate=new DateTime (2026,3,25,4,26,24),CreatedUserId=null,Description= "Created by seeding data",IsActive=true,IsDeleted=false,LastModifiedDate=null,LastModifiedUserId=null</v>
      </c>
      <c r="Y194" s="9" t="str">
        <f t="shared" ca="1" si="50"/>
        <v>new State{Id=192,Title="ونزوئلا",ParentId=null,Guid=Guid.Parse("553D7DCF-11A3-4E18-AAA8-62DB8D2D625D"),CreatedDate=new DateTime (2026,3,25,4,26,24),CreatedUserId=null,Description= "Created by seeding data",IsActive=true,IsDeleted=false,LastModifiedDate=null,LastModifiedUserId=null},</v>
      </c>
    </row>
    <row r="195" spans="1:25" x14ac:dyDescent="0.5">
      <c r="A195" s="1" t="str">
        <f t="shared" si="34"/>
        <v>193,</v>
      </c>
      <c r="B195" s="1" t="s">
        <v>204</v>
      </c>
      <c r="C195" s="1" t="str">
        <f t="shared" si="35"/>
        <v>null,</v>
      </c>
      <c r="D195" s="1" t="s">
        <v>400</v>
      </c>
      <c r="E195" s="1" t="str">
        <f t="shared" ca="1" si="36"/>
        <v>new DateTime (2026,3,25,4,26,24),</v>
      </c>
      <c r="F195" s="1" t="str">
        <f t="shared" si="37"/>
        <v>null,</v>
      </c>
      <c r="G195" s="1" t="s">
        <v>207</v>
      </c>
      <c r="H195" s="1" t="str">
        <f t="shared" si="38"/>
        <v>true,</v>
      </c>
      <c r="I195" s="1" t="str">
        <f t="shared" si="39"/>
        <v>false,</v>
      </c>
      <c r="J195" s="1" t="str">
        <f t="shared" si="40"/>
        <v>null,</v>
      </c>
      <c r="K195" s="1" t="str">
        <f t="shared" si="41"/>
        <v>null</v>
      </c>
      <c r="L195" s="6"/>
      <c r="M195" s="10" t="str">
        <f>_xlfn.TEXTJOIN("=",FALSE,A$2,A195)</f>
        <v>Id=193,</v>
      </c>
      <c r="N195" s="10" t="str">
        <f>_xlfn.TEXTJOIN("=",FALSE,B$2,B195)</f>
        <v>Title="ویتنام",</v>
      </c>
      <c r="O195" s="10" t="str">
        <f>_xlfn.TEXTJOIN("=",FALSE,C$2,C195)</f>
        <v>ParentId=null,</v>
      </c>
      <c r="P195" s="10" t="str">
        <f>_xlfn.TEXTJOIN("=",FALSE,D$2,D195)</f>
        <v>Guid=Guid.Parse("AA5D32E6-3369-43AA-AE29-C59E865BE2F5"),</v>
      </c>
      <c r="Q195" s="10" t="str">
        <f t="shared" ca="1" si="42"/>
        <v>CreatedDate=new DateTime (2026,3,25,4,26,24),</v>
      </c>
      <c r="R195" s="10" t="str">
        <f t="shared" si="43"/>
        <v>CreatedUserId=null,</v>
      </c>
      <c r="S195" s="10" t="str">
        <f t="shared" si="44"/>
        <v>Description= "Created by seeding data",</v>
      </c>
      <c r="T195" s="10" t="str">
        <f t="shared" si="45"/>
        <v>IsActive=true,</v>
      </c>
      <c r="U195" s="10" t="str">
        <f t="shared" si="46"/>
        <v>IsDeleted=false,</v>
      </c>
      <c r="V195" s="10" t="str">
        <f t="shared" si="47"/>
        <v>LastModifiedDate=null,</v>
      </c>
      <c r="W195" s="10" t="str">
        <f t="shared" si="48"/>
        <v>LastModifiedUserId=null</v>
      </c>
      <c r="X195" s="9" t="str">
        <f t="shared" ca="1" si="49"/>
        <v>Id=193,Title="ویتنام",ParentId=null,Guid=Guid.Parse("AA5D32E6-3369-43AA-AE29-C59E865BE2F5"),CreatedDate=new DateTime (2026,3,25,4,26,24),CreatedUserId=null,Description= "Created by seeding data",IsActive=true,IsDeleted=false,LastModifiedDate=null,LastModifiedUserId=null</v>
      </c>
      <c r="Y195" s="9" t="str">
        <f t="shared" ca="1" si="50"/>
        <v>new State{Id=193,Title="ویتنام",ParentId=null,Guid=Guid.Parse("AA5D32E6-3369-43AA-AE29-C59E865BE2F5"),CreatedDate=new DateTime (2026,3,25,4,26,24),CreatedUserId=null,Description= "Created by seeding data",IsActive=true,IsDeleted=false,LastModifiedDate=null,LastModifiedUserId=null},</v>
      </c>
    </row>
    <row r="196" spans="1:25" x14ac:dyDescent="0.5">
      <c r="A196" s="1" t="str">
        <f t="shared" ref="A196:A197" si="51">ROW()-ROW($A$2)&amp;","</f>
        <v>194,</v>
      </c>
      <c r="B196" s="1" t="s">
        <v>205</v>
      </c>
      <c r="C196" s="1" t="str">
        <f t="shared" ref="C196:C197" si="52">"null,"</f>
        <v>null,</v>
      </c>
      <c r="D196" s="1" t="s">
        <v>401</v>
      </c>
      <c r="E196" s="1" t="str">
        <f t="shared" ref="E196:E197" ca="1" si="53">"new DateTime (" &amp; $C$1&amp;"),"</f>
        <v>new DateTime (2026,3,25,4,26,24),</v>
      </c>
      <c r="F196" s="1" t="str">
        <f t="shared" ref="F196:F197" si="54">"null,"</f>
        <v>null,</v>
      </c>
      <c r="G196" s="1" t="s">
        <v>207</v>
      </c>
      <c r="H196" s="1" t="str">
        <f t="shared" ref="H196:H197" si="55">"true,"</f>
        <v>true,</v>
      </c>
      <c r="I196" s="1" t="str">
        <f t="shared" ref="I196:I197" si="56">"false,"</f>
        <v>false,</v>
      </c>
      <c r="J196" s="1" t="str">
        <f t="shared" ref="J196:J197" si="57">"null,"</f>
        <v>null,</v>
      </c>
      <c r="K196" s="1" t="str">
        <f t="shared" ref="K196:K197" si="58">"null"</f>
        <v>null</v>
      </c>
      <c r="L196" s="6"/>
      <c r="M196" s="10" t="str">
        <f>_xlfn.TEXTJOIN("=",FALSE,A$2,A196)</f>
        <v>Id=194,</v>
      </c>
      <c r="N196" s="10" t="str">
        <f>_xlfn.TEXTJOIN("=",FALSE,B$2,B196)</f>
        <v>Title="یمن",</v>
      </c>
      <c r="O196" s="10" t="str">
        <f>_xlfn.TEXTJOIN("=",FALSE,C$2,C196)</f>
        <v>ParentId=null,</v>
      </c>
      <c r="P196" s="10" t="str">
        <f>_xlfn.TEXTJOIN("=",FALSE,D$2,D196)</f>
        <v>Guid=Guid.Parse("AB26CB1A-FDE4-4AA0-8DCE-FAA6BB5CDBDC"),</v>
      </c>
      <c r="Q196" s="10" t="str">
        <f t="shared" ref="Q196:Q197" ca="1" si="59">_xlfn.TEXTJOIN("=",FALSE,E$2,E196)</f>
        <v>CreatedDate=new DateTime (2026,3,25,4,26,24),</v>
      </c>
      <c r="R196" s="10" t="str">
        <f t="shared" ref="R196:R197" si="60">_xlfn.TEXTJOIN("=",FALSE,F$2,F196)</f>
        <v>CreatedUserId=null,</v>
      </c>
      <c r="S196" s="10" t="str">
        <f t="shared" ref="S196:S197" si="61">_xlfn.TEXTJOIN("=",FALSE,G$2,G196)</f>
        <v>Description= "Created by seeding data",</v>
      </c>
      <c r="T196" s="10" t="str">
        <f t="shared" ref="T196:T197" si="62">_xlfn.TEXTJOIN("=",FALSE,H$2,H196)</f>
        <v>IsActive=true,</v>
      </c>
      <c r="U196" s="10" t="str">
        <f t="shared" ref="U196:U197" si="63">_xlfn.TEXTJOIN("=",FALSE,I$2,I196)</f>
        <v>IsDeleted=false,</v>
      </c>
      <c r="V196" s="10" t="str">
        <f t="shared" ref="V196:V197" si="64">_xlfn.TEXTJOIN("=",FALSE,J$2,J196)</f>
        <v>LastModifiedDate=null,</v>
      </c>
      <c r="W196" s="10" t="str">
        <f t="shared" ref="W196:W197" si="65">_xlfn.TEXTJOIN("=",FALSE,K$2,K196)</f>
        <v>LastModifiedUserId=null</v>
      </c>
      <c r="X196" s="9" t="str">
        <f t="shared" ref="X196:X197" ca="1" si="66">_xlfn.TEXTJOIN("",FALSE,M196:W196)</f>
        <v>Id=194,Title="یمن",ParentId=null,Guid=Guid.Parse("AB26CB1A-FDE4-4AA0-8DCE-FAA6BB5CDBDC"),CreatedDate=new DateTime (2026,3,25,4,26,24),CreatedUserId=null,Description= "Created by seeding data",IsActive=true,IsDeleted=false,LastModifiedDate=null,LastModifiedUserId=null</v>
      </c>
      <c r="Y196" s="9" t="str">
        <f t="shared" ref="Y196:Y197" ca="1" si="67">"new State{" &amp;X196&amp; "},"</f>
        <v>new State{Id=194,Title="یمن",ParentId=null,Guid=Guid.Parse("AB26CB1A-FDE4-4AA0-8DCE-FAA6BB5CDBDC"),CreatedDate=new DateTime (2026,3,25,4,26,24),CreatedUserId=null,Description= "Created by seeding data",IsActive=true,IsDeleted=false,LastModifiedDate=null,LastModifiedUserId=null},</v>
      </c>
    </row>
    <row r="197" spans="1:25" x14ac:dyDescent="0.5">
      <c r="A197" s="1" t="str">
        <f t="shared" si="51"/>
        <v>195,</v>
      </c>
      <c r="B197" s="1" t="s">
        <v>206</v>
      </c>
      <c r="C197" s="1" t="str">
        <f t="shared" si="52"/>
        <v>null,</v>
      </c>
      <c r="D197" s="1" t="s">
        <v>402</v>
      </c>
      <c r="E197" s="1" t="str">
        <f t="shared" ca="1" si="53"/>
        <v>new DateTime (2026,3,25,4,26,24),</v>
      </c>
      <c r="F197" s="1" t="str">
        <f t="shared" si="54"/>
        <v>null,</v>
      </c>
      <c r="G197" s="1" t="s">
        <v>207</v>
      </c>
      <c r="H197" s="1" t="str">
        <f t="shared" si="55"/>
        <v>true,</v>
      </c>
      <c r="I197" s="1" t="str">
        <f t="shared" si="56"/>
        <v>false,</v>
      </c>
      <c r="J197" s="1" t="str">
        <f t="shared" si="57"/>
        <v>null,</v>
      </c>
      <c r="K197" s="1" t="str">
        <f t="shared" si="58"/>
        <v>null</v>
      </c>
      <c r="L197" s="6"/>
      <c r="M197" s="10" t="str">
        <f>_xlfn.TEXTJOIN("=",FALSE,A$2,A197)</f>
        <v>Id=195,</v>
      </c>
      <c r="N197" s="10" t="str">
        <f>_xlfn.TEXTJOIN("=",FALSE,B$2,B197)</f>
        <v>Title="یونان",</v>
      </c>
      <c r="O197" s="10" t="str">
        <f>_xlfn.TEXTJOIN("=",FALSE,C$2,C197)</f>
        <v>ParentId=null,</v>
      </c>
      <c r="P197" s="10" t="str">
        <f>_xlfn.TEXTJOIN("=",FALSE,D$2,D197)</f>
        <v>Guid=Guid.Parse("4CB19AF0-88CC-4E63-BCB3-DCBFF6BD6DD3"),</v>
      </c>
      <c r="Q197" s="10" t="str">
        <f t="shared" ca="1" si="59"/>
        <v>CreatedDate=new DateTime (2026,3,25,4,26,24),</v>
      </c>
      <c r="R197" s="10" t="str">
        <f t="shared" si="60"/>
        <v>CreatedUserId=null,</v>
      </c>
      <c r="S197" s="10" t="str">
        <f t="shared" si="61"/>
        <v>Description= "Created by seeding data",</v>
      </c>
      <c r="T197" s="10" t="str">
        <f t="shared" si="62"/>
        <v>IsActive=true,</v>
      </c>
      <c r="U197" s="10" t="str">
        <f t="shared" si="63"/>
        <v>IsDeleted=false,</v>
      </c>
      <c r="V197" s="10" t="str">
        <f t="shared" si="64"/>
        <v>LastModifiedDate=null,</v>
      </c>
      <c r="W197" s="10" t="str">
        <f t="shared" si="65"/>
        <v>LastModifiedUserId=null</v>
      </c>
      <c r="X197" s="9" t="str">
        <f t="shared" ca="1" si="66"/>
        <v>Id=195,Title="یونان",ParentId=null,Guid=Guid.Parse("4CB19AF0-88CC-4E63-BCB3-DCBFF6BD6DD3"),CreatedDate=new DateTime (2026,3,25,4,26,24),CreatedUserId=null,Description= "Created by seeding data",IsActive=true,IsDeleted=false,LastModifiedDate=null,LastModifiedUserId=null</v>
      </c>
      <c r="Y197" s="9" t="str">
        <f t="shared" ca="1" si="67"/>
        <v>new State{Id=195,Title="یونان",ParentId=null,Guid=Guid.Parse("4CB19AF0-88CC-4E63-BCB3-DCBFF6BD6DD3"),CreatedDate=new DateTime (2026,3,25,4,26,24),CreatedUserId=null,Description= "Created by seeding data",IsActive=true,IsDeleted=false,LastModifiedDate=null,LastModifiedUserId=null},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4C7B-AA21-4E94-AC7C-5762D9EA446D}">
  <dimension ref="A1:AB179"/>
  <sheetViews>
    <sheetView tabSelected="1" workbookViewId="0">
      <selection activeCell="D8" sqref="D8"/>
    </sheetView>
  </sheetViews>
  <sheetFormatPr defaultRowHeight="15" x14ac:dyDescent="0.5"/>
  <cols>
    <col min="1" max="1" width="12.28515625" style="4" bestFit="1" customWidth="1"/>
    <col min="2" max="2" width="21.85546875" style="4" bestFit="1" customWidth="1"/>
    <col min="3" max="3" width="30.7109375" style="4" customWidth="1"/>
    <col min="4" max="4" width="60.28515625" style="4" bestFit="1" customWidth="1"/>
    <col min="5" max="5" width="33.85546875" style="4" bestFit="1" customWidth="1"/>
    <col min="6" max="6" width="14.7109375" style="4" bestFit="1" customWidth="1"/>
    <col min="7" max="7" width="26.85546875" style="4" bestFit="1" customWidth="1"/>
    <col min="8" max="8" width="8.7109375" style="4" bestFit="1" customWidth="1"/>
    <col min="9" max="9" width="10" style="4" bestFit="1" customWidth="1"/>
    <col min="10" max="10" width="18.28515625" style="4" bestFit="1" customWidth="1"/>
    <col min="11" max="11" width="20" style="4" bestFit="1" customWidth="1"/>
    <col min="12" max="12" width="20" style="4" customWidth="1"/>
    <col min="13" max="23" width="11.5703125" style="9" customWidth="1"/>
    <col min="24" max="24" width="9.140625" style="4"/>
    <col min="25" max="25" width="224.140625" style="4" bestFit="1" customWidth="1"/>
    <col min="26" max="28" width="9.140625" style="4"/>
    <col min="29" max="29" width="45.85546875" style="4" bestFit="1" customWidth="1"/>
    <col min="30" max="16384" width="9.140625" style="4"/>
  </cols>
  <sheetData>
    <row r="1" spans="1:25" ht="19.5" x14ac:dyDescent="0.5">
      <c r="A1" s="1" t="s">
        <v>11</v>
      </c>
      <c r="B1" s="3">
        <f ca="1">NOW()</f>
        <v>46106.184999305558</v>
      </c>
      <c r="C1" s="3" t="str">
        <f ca="1">TEXT(B1,"yyyy,m,d,h,m,s")</f>
        <v>2026,3,25,4,26,24</v>
      </c>
      <c r="D1" s="1"/>
      <c r="E1" s="1"/>
      <c r="F1" s="1"/>
      <c r="G1" s="1"/>
      <c r="H1" s="1"/>
      <c r="I1" s="1"/>
      <c r="J1" s="1"/>
      <c r="K1" s="1"/>
      <c r="L1" s="6"/>
    </row>
    <row r="2" spans="1:25" ht="19.5" x14ac:dyDescent="0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7"/>
      <c r="Y2" s="5"/>
    </row>
    <row r="3" spans="1:25" ht="19.5" x14ac:dyDescent="0.5">
      <c r="A3" s="1" t="str">
        <f>ROW()-ROW($A$2)+195&amp;","</f>
        <v>196,</v>
      </c>
      <c r="B3" s="1" t="s">
        <v>403</v>
      </c>
      <c r="C3" s="1" t="s">
        <v>434</v>
      </c>
      <c r="D3" s="1" t="s">
        <v>208</v>
      </c>
      <c r="E3" s="1" t="str">
        <f ca="1">"new DateTime (" &amp; $C$1&amp;"),"</f>
        <v>new DateTime (2026,3,25,4,26,24),</v>
      </c>
      <c r="F3" s="1" t="str">
        <f>"null,"</f>
        <v>null,</v>
      </c>
      <c r="G3" s="1" t="s">
        <v>207</v>
      </c>
      <c r="H3" s="1" t="str">
        <f>"true,"</f>
        <v>true,</v>
      </c>
      <c r="I3" s="1" t="str">
        <f>"false,"</f>
        <v>false,</v>
      </c>
      <c r="J3" s="1" t="str">
        <f>"null,"</f>
        <v>null,</v>
      </c>
      <c r="K3" s="1" t="str">
        <f>"null"</f>
        <v>null</v>
      </c>
      <c r="L3" s="6"/>
      <c r="M3" s="10" t="str">
        <f>_xlfn.TEXTJOIN("=",FALSE,A$2,A3)</f>
        <v>Id=196,</v>
      </c>
      <c r="N3" s="10" t="str">
        <f>_xlfn.TEXTJOIN("=",FALSE,B$2,B3)</f>
        <v>Title="اردبیل",</v>
      </c>
      <c r="O3" s="10" t="str">
        <f>_xlfn.TEXTJOIN("=",FALSE,C$2,C3)</f>
        <v>ParentId=1,</v>
      </c>
      <c r="P3" s="10" t="str">
        <f>_xlfn.TEXTJOIN("=",FALSE,D$2,D3)</f>
        <v>Guid=Guid.Parse("EA67D95C-AD10-429B-8728-FEDC442C987A"),</v>
      </c>
      <c r="Q3" s="10" t="str">
        <f ca="1">_xlfn.TEXTJOIN("=",FALSE,E$2,E3)</f>
        <v>CreatedDate=new DateTime (2026,3,25,4,26,24),</v>
      </c>
      <c r="R3" s="10" t="str">
        <f>_xlfn.TEXTJOIN("=",FALSE,F$2,F3)</f>
        <v>CreatedUserId=null,</v>
      </c>
      <c r="S3" s="10" t="str">
        <f>_xlfn.TEXTJOIN("=",FALSE,G$2,G3)</f>
        <v>Description= "Created by seeding data",</v>
      </c>
      <c r="T3" s="10" t="str">
        <f>_xlfn.TEXTJOIN("=",FALSE,H$2,H3)</f>
        <v>IsActive=true,</v>
      </c>
      <c r="U3" s="10" t="str">
        <f>_xlfn.TEXTJOIN("=",FALSE,I$2,I3)</f>
        <v>IsDeleted=false,</v>
      </c>
      <c r="V3" s="10" t="str">
        <f>_xlfn.TEXTJOIN("=",FALSE,J$2,J3)</f>
        <v>LastModifiedDate=null,</v>
      </c>
      <c r="W3" s="10" t="str">
        <f>_xlfn.TEXTJOIN("=",FALSE,K$2,K3)</f>
        <v>LastModifiedUserId=null</v>
      </c>
      <c r="X3" s="9" t="str">
        <f ca="1">_xlfn.TEXTJOIN("",FALSE,M3:W3)</f>
        <v>Id=196,Title="اردبیل",ParentId=1,Guid=Guid.Parse("EA67D95C-AD10-429B-8728-FEDC442C987A"),CreatedDate=new DateTime (2026,3,25,4,26,24),CreatedUserId=null,Description= "Created by seeding data",IsActive=true,IsDeleted=false,LastModifiedDate=null,LastModifiedUserId=null</v>
      </c>
      <c r="Y3" s="9" t="str">
        <f ca="1">"new State{" &amp;X3&amp; "},"</f>
        <v>new State{Id=196,Title="اردبیل",ParentId=1,Guid=Guid.Parse("EA67D95C-AD10-429B-8728-FEDC442C987A"),CreatedDate=new DateTime (2026,3,25,4,26,24),CreatedUserId=null,Description= "Created by seeding data",IsActive=true,IsDeleted=false,LastModifiedDate=null,LastModifiedUserId=null},</v>
      </c>
    </row>
    <row r="4" spans="1:25" ht="19.5" x14ac:dyDescent="0.5">
      <c r="A4" s="1" t="str">
        <f t="shared" ref="A4:A67" si="0">ROW()-ROW($A$2)+195&amp;","</f>
        <v>197,</v>
      </c>
      <c r="B4" s="1" t="s">
        <v>404</v>
      </c>
      <c r="C4" s="1" t="s">
        <v>434</v>
      </c>
      <c r="D4" s="1" t="s">
        <v>209</v>
      </c>
      <c r="E4" s="1" t="str">
        <f ca="1">"new DateTime (" &amp; $C$1&amp;"),"</f>
        <v>new DateTime (2026,3,25,4,26,24),</v>
      </c>
      <c r="F4" s="1" t="str">
        <f>"null,"</f>
        <v>null,</v>
      </c>
      <c r="G4" s="1" t="s">
        <v>207</v>
      </c>
      <c r="H4" s="1" t="str">
        <f>"true,"</f>
        <v>true,</v>
      </c>
      <c r="I4" s="1" t="str">
        <f>"false,"</f>
        <v>false,</v>
      </c>
      <c r="J4" s="1" t="str">
        <f>"null,"</f>
        <v>null,</v>
      </c>
      <c r="K4" s="1" t="str">
        <f>"null"</f>
        <v>null</v>
      </c>
      <c r="L4" s="6"/>
      <c r="M4" s="10" t="str">
        <f>_xlfn.TEXTJOIN("=",FALSE,A$2,A4)</f>
        <v>Id=197,</v>
      </c>
      <c r="N4" s="10" t="str">
        <f>_xlfn.TEXTJOIN("=",FALSE,B$2,B4)</f>
        <v>Title="اصفهان",</v>
      </c>
      <c r="O4" s="10" t="str">
        <f>_xlfn.TEXTJOIN("=",FALSE,C$2,C4)</f>
        <v>ParentId=1,</v>
      </c>
      <c r="P4" s="10" t="str">
        <f>_xlfn.TEXTJOIN("=",FALSE,D$2,D4)</f>
        <v>Guid=Guid.Parse("DBA40481-3887-4D1B-84CB-DF0E9B68B7A6"),</v>
      </c>
      <c r="Q4" s="10" t="str">
        <f t="shared" ref="Q4:W40" ca="1" si="1">_xlfn.TEXTJOIN("=",FALSE,E$2,E4)</f>
        <v>CreatedDate=new DateTime (2026,3,25,4,26,24),</v>
      </c>
      <c r="R4" s="10" t="str">
        <f t="shared" si="1"/>
        <v>CreatedUserId=null,</v>
      </c>
      <c r="S4" s="10" t="str">
        <f t="shared" si="1"/>
        <v>Description= "Created by seeding data",</v>
      </c>
      <c r="T4" s="10" t="str">
        <f t="shared" si="1"/>
        <v>IsActive=true,</v>
      </c>
      <c r="U4" s="10" t="str">
        <f t="shared" si="1"/>
        <v>IsDeleted=false,</v>
      </c>
      <c r="V4" s="10" t="str">
        <f t="shared" si="1"/>
        <v>LastModifiedDate=null,</v>
      </c>
      <c r="W4" s="10" t="str">
        <f t="shared" si="1"/>
        <v>LastModifiedUserId=null</v>
      </c>
      <c r="X4" s="9" t="str">
        <f t="shared" ref="X4:X67" ca="1" si="2">_xlfn.TEXTJOIN("",FALSE,M4:W4)</f>
        <v>Id=197,Title="اصفهان",ParentId=1,Guid=Guid.Parse("DBA40481-3887-4D1B-84CB-DF0E9B68B7A6"),CreatedDate=new DateTime (2026,3,25,4,26,24),CreatedUserId=null,Description= "Created by seeding data",IsActive=true,IsDeleted=false,LastModifiedDate=null,LastModifiedUserId=null</v>
      </c>
      <c r="Y4" s="9" t="str">
        <f t="shared" ref="Y4:Y67" ca="1" si="3">"new State{" &amp;X4&amp; "},"</f>
        <v>new State{Id=197,Title="اصفهان",ParentId=1,Guid=Guid.Parse("DBA40481-3887-4D1B-84CB-DF0E9B68B7A6"),CreatedDate=new DateTime (2026,3,25,4,26,24),CreatedUserId=null,Description= "Created by seeding data",IsActive=true,IsDeleted=false,LastModifiedDate=null,LastModifiedUserId=null},</v>
      </c>
    </row>
    <row r="5" spans="1:25" ht="19.5" x14ac:dyDescent="0.5">
      <c r="A5" s="1" t="str">
        <f t="shared" si="0"/>
        <v>198,</v>
      </c>
      <c r="B5" s="1" t="s">
        <v>405</v>
      </c>
      <c r="C5" s="1" t="s">
        <v>434</v>
      </c>
      <c r="D5" s="1" t="s">
        <v>210</v>
      </c>
      <c r="E5" s="1" t="str">
        <f ca="1">"new DateTime (" &amp; $C$1&amp;"),"</f>
        <v>new DateTime (2026,3,25,4,26,24),</v>
      </c>
      <c r="F5" s="1" t="str">
        <f>"null,"</f>
        <v>null,</v>
      </c>
      <c r="G5" s="1" t="s">
        <v>207</v>
      </c>
      <c r="H5" s="1" t="str">
        <f>"true,"</f>
        <v>true,</v>
      </c>
      <c r="I5" s="1" t="str">
        <f>"false,"</f>
        <v>false,</v>
      </c>
      <c r="J5" s="1" t="str">
        <f>"null,"</f>
        <v>null,</v>
      </c>
      <c r="K5" s="1" t="str">
        <f>"null"</f>
        <v>null</v>
      </c>
      <c r="L5" s="6"/>
      <c r="M5" s="10" t="str">
        <f>_xlfn.TEXTJOIN("=",FALSE,A$2,A5)</f>
        <v>Id=198,</v>
      </c>
      <c r="N5" s="10" t="str">
        <f>_xlfn.TEXTJOIN("=",FALSE,B$2,B5)</f>
        <v>Title="البرز",</v>
      </c>
      <c r="O5" s="10" t="str">
        <f>_xlfn.TEXTJOIN("=",FALSE,C$2,C5)</f>
        <v>ParentId=1,</v>
      </c>
      <c r="P5" s="10" t="str">
        <f>_xlfn.TEXTJOIN("=",FALSE,D$2,D5)</f>
        <v>Guid=Guid.Parse("B12672CD-2F24-4C3F-B21E-26F1244B79CA"),</v>
      </c>
      <c r="Q5" s="10" t="str">
        <f t="shared" ca="1" si="1"/>
        <v>CreatedDate=new DateTime (2026,3,25,4,26,24),</v>
      </c>
      <c r="R5" s="10" t="str">
        <f t="shared" si="1"/>
        <v>CreatedUserId=null,</v>
      </c>
      <c r="S5" s="10" t="str">
        <f t="shared" si="1"/>
        <v>Description= "Created by seeding data",</v>
      </c>
      <c r="T5" s="10" t="str">
        <f t="shared" si="1"/>
        <v>IsActive=true,</v>
      </c>
      <c r="U5" s="10" t="str">
        <f t="shared" si="1"/>
        <v>IsDeleted=false,</v>
      </c>
      <c r="V5" s="10" t="str">
        <f t="shared" si="1"/>
        <v>LastModifiedDate=null,</v>
      </c>
      <c r="W5" s="10" t="str">
        <f t="shared" si="1"/>
        <v>LastModifiedUserId=null</v>
      </c>
      <c r="X5" s="9" t="str">
        <f t="shared" ca="1" si="2"/>
        <v>Id=198,Title="البرز",ParentId=1,Guid=Guid.Parse("B12672CD-2F24-4C3F-B21E-26F1244B79CA"),CreatedDate=new DateTime (2026,3,25,4,26,24),CreatedUserId=null,Description= "Created by seeding data",IsActive=true,IsDeleted=false,LastModifiedDate=null,LastModifiedUserId=null</v>
      </c>
      <c r="Y5" s="9" t="str">
        <f t="shared" ca="1" si="3"/>
        <v>new State{Id=198,Title="البرز",ParentId=1,Guid=Guid.Parse("B12672CD-2F24-4C3F-B21E-26F1244B79CA"),CreatedDate=new DateTime (2026,3,25,4,26,24),CreatedUserId=null,Description= "Created by seeding data",IsActive=true,IsDeleted=false,LastModifiedDate=null,LastModifiedUserId=null},</v>
      </c>
    </row>
    <row r="6" spans="1:25" ht="19.5" x14ac:dyDescent="0.5">
      <c r="A6" s="1" t="str">
        <f t="shared" si="0"/>
        <v>199,</v>
      </c>
      <c r="B6" s="1" t="s">
        <v>406</v>
      </c>
      <c r="C6" s="1" t="s">
        <v>434</v>
      </c>
      <c r="D6" s="1" t="s">
        <v>211</v>
      </c>
      <c r="E6" s="1" t="str">
        <f ca="1">"new DateTime (" &amp; $C$1&amp;"),"</f>
        <v>new DateTime (2026,3,25,4,26,24),</v>
      </c>
      <c r="F6" s="1" t="str">
        <f>"null,"</f>
        <v>null,</v>
      </c>
      <c r="G6" s="1" t="s">
        <v>207</v>
      </c>
      <c r="H6" s="1" t="str">
        <f>"true,"</f>
        <v>true,</v>
      </c>
      <c r="I6" s="1" t="str">
        <f>"false,"</f>
        <v>false,</v>
      </c>
      <c r="J6" s="1" t="str">
        <f>"null,"</f>
        <v>null,</v>
      </c>
      <c r="K6" s="1" t="str">
        <f>"null"</f>
        <v>null</v>
      </c>
      <c r="L6" s="6"/>
      <c r="M6" s="10" t="str">
        <f>_xlfn.TEXTJOIN("=",FALSE,A$2,A6)</f>
        <v>Id=199,</v>
      </c>
      <c r="N6" s="10" t="str">
        <f>_xlfn.TEXTJOIN("=",FALSE,B$2,B6)</f>
        <v>Title="ایلام",</v>
      </c>
      <c r="O6" s="10" t="str">
        <f>_xlfn.TEXTJOIN("=",FALSE,C$2,C6)</f>
        <v>ParentId=1,</v>
      </c>
      <c r="P6" s="10" t="str">
        <f>_xlfn.TEXTJOIN("=",FALSE,D$2,D6)</f>
        <v>Guid=Guid.Parse("02ACCC92-03A3-4A93-9688-DA2DEDDAF284"),</v>
      </c>
      <c r="Q6" s="10" t="str">
        <f t="shared" ca="1" si="1"/>
        <v>CreatedDate=new DateTime (2026,3,25,4,26,24),</v>
      </c>
      <c r="R6" s="10" t="str">
        <f t="shared" si="1"/>
        <v>CreatedUserId=null,</v>
      </c>
      <c r="S6" s="10" t="str">
        <f t="shared" si="1"/>
        <v>Description= "Created by seeding data",</v>
      </c>
      <c r="T6" s="10" t="str">
        <f t="shared" si="1"/>
        <v>IsActive=true,</v>
      </c>
      <c r="U6" s="10" t="str">
        <f t="shared" si="1"/>
        <v>IsDeleted=false,</v>
      </c>
      <c r="V6" s="10" t="str">
        <f t="shared" si="1"/>
        <v>LastModifiedDate=null,</v>
      </c>
      <c r="W6" s="10" t="str">
        <f t="shared" si="1"/>
        <v>LastModifiedUserId=null</v>
      </c>
      <c r="X6" s="9" t="str">
        <f t="shared" ca="1" si="2"/>
        <v>Id=199,Title="ایلام",ParentId=1,Guid=Guid.Parse("02ACCC92-03A3-4A93-9688-DA2DEDDAF284"),CreatedDate=new DateTime (2026,3,25,4,26,24),CreatedUserId=null,Description= "Created by seeding data",IsActive=true,IsDeleted=false,LastModifiedDate=null,LastModifiedUserId=null</v>
      </c>
      <c r="Y6" s="9" t="str">
        <f t="shared" ca="1" si="3"/>
        <v>new State{Id=199,Title="ایلام",ParentId=1,Guid=Guid.Parse("02ACCC92-03A3-4A93-9688-DA2DEDDAF284"),CreatedDate=new DateTime (2026,3,25,4,26,24),CreatedUserId=null,Description= "Created by seeding data",IsActive=true,IsDeleted=false,LastModifiedDate=null,LastModifiedUserId=null},</v>
      </c>
    </row>
    <row r="7" spans="1:25" ht="19.5" x14ac:dyDescent="0.5">
      <c r="A7" s="1" t="str">
        <f t="shared" si="0"/>
        <v>200,</v>
      </c>
      <c r="B7" s="1" t="s">
        <v>407</v>
      </c>
      <c r="C7" s="1" t="s">
        <v>434</v>
      </c>
      <c r="D7" s="1" t="s">
        <v>212</v>
      </c>
      <c r="E7" s="1" t="str">
        <f ca="1">"new DateTime (" &amp; $C$1&amp;"),"</f>
        <v>new DateTime (2026,3,25,4,26,24),</v>
      </c>
      <c r="F7" s="1" t="str">
        <f>"null,"</f>
        <v>null,</v>
      </c>
      <c r="G7" s="1" t="s">
        <v>207</v>
      </c>
      <c r="H7" s="1" t="str">
        <f>"true,"</f>
        <v>true,</v>
      </c>
      <c r="I7" s="1" t="str">
        <f>"false,"</f>
        <v>false,</v>
      </c>
      <c r="J7" s="1" t="str">
        <f>"null,"</f>
        <v>null,</v>
      </c>
      <c r="K7" s="1" t="str">
        <f>"null"</f>
        <v>null</v>
      </c>
      <c r="L7" s="6"/>
      <c r="M7" s="10" t="str">
        <f>_xlfn.TEXTJOIN("=",FALSE,A$2,A7)</f>
        <v>Id=200,</v>
      </c>
      <c r="N7" s="10" t="str">
        <f>_xlfn.TEXTJOIN("=",FALSE,B$2,B7)</f>
        <v>Title="آذربایجان شرقی",</v>
      </c>
      <c r="O7" s="10" t="str">
        <f>_xlfn.TEXTJOIN("=",FALSE,C$2,C7)</f>
        <v>ParentId=1,</v>
      </c>
      <c r="P7" s="10" t="str">
        <f>_xlfn.TEXTJOIN("=",FALSE,D$2,D7)</f>
        <v>Guid=Guid.Parse("6CECF227-0773-4918-8A4C-22A5D123A824"),</v>
      </c>
      <c r="Q7" s="10" t="str">
        <f t="shared" ca="1" si="1"/>
        <v>CreatedDate=new DateTime (2026,3,25,4,26,24),</v>
      </c>
      <c r="R7" s="10" t="str">
        <f t="shared" si="1"/>
        <v>CreatedUserId=null,</v>
      </c>
      <c r="S7" s="10" t="str">
        <f t="shared" si="1"/>
        <v>Description= "Created by seeding data",</v>
      </c>
      <c r="T7" s="10" t="str">
        <f t="shared" si="1"/>
        <v>IsActive=true,</v>
      </c>
      <c r="U7" s="10" t="str">
        <f t="shared" si="1"/>
        <v>IsDeleted=false,</v>
      </c>
      <c r="V7" s="10" t="str">
        <f t="shared" si="1"/>
        <v>LastModifiedDate=null,</v>
      </c>
      <c r="W7" s="10" t="str">
        <f t="shared" si="1"/>
        <v>LastModifiedUserId=null</v>
      </c>
      <c r="X7" s="9" t="str">
        <f t="shared" ca="1" si="2"/>
        <v>Id=200,Title="آذربایجان شرقی",ParentId=1,Guid=Guid.Parse("6CECF227-0773-4918-8A4C-22A5D123A824"),CreatedDate=new DateTime (2026,3,25,4,26,24),CreatedUserId=null,Description= "Created by seeding data",IsActive=true,IsDeleted=false,LastModifiedDate=null,LastModifiedUserId=null</v>
      </c>
      <c r="Y7" s="9" t="str">
        <f t="shared" ca="1" si="3"/>
        <v>new State{Id=200,Title="آذربایجان شرقی",ParentId=1,Guid=Guid.Parse("6CECF227-0773-4918-8A4C-22A5D123A824"),CreatedDate=new DateTime (2026,3,25,4,26,24),CreatedUserId=null,Description= "Created by seeding data",IsActive=true,IsDeleted=false,LastModifiedDate=null,LastModifiedUserId=null},</v>
      </c>
    </row>
    <row r="8" spans="1:25" ht="19.5" x14ac:dyDescent="0.5">
      <c r="A8" s="1" t="str">
        <f t="shared" si="0"/>
        <v>201,</v>
      </c>
      <c r="B8" s="1" t="s">
        <v>408</v>
      </c>
      <c r="C8" s="1" t="s">
        <v>434</v>
      </c>
      <c r="D8" s="1" t="s">
        <v>213</v>
      </c>
      <c r="E8" s="1" t="str">
        <f ca="1">"new DateTime (" &amp; $C$1&amp;"),"</f>
        <v>new DateTime (2026,3,25,4,26,24),</v>
      </c>
      <c r="F8" s="1" t="str">
        <f>"null,"</f>
        <v>null,</v>
      </c>
      <c r="G8" s="1" t="s">
        <v>207</v>
      </c>
      <c r="H8" s="1" t="str">
        <f>"true,"</f>
        <v>true,</v>
      </c>
      <c r="I8" s="1" t="str">
        <f>"false,"</f>
        <v>false,</v>
      </c>
      <c r="J8" s="1" t="str">
        <f>"null,"</f>
        <v>null,</v>
      </c>
      <c r="K8" s="1" t="str">
        <f>"null"</f>
        <v>null</v>
      </c>
      <c r="L8" s="6"/>
      <c r="M8" s="10" t="str">
        <f>_xlfn.TEXTJOIN("=",FALSE,A$2,A8)</f>
        <v>Id=201,</v>
      </c>
      <c r="N8" s="10" t="str">
        <f>_xlfn.TEXTJOIN("=",FALSE,B$2,B8)</f>
        <v>Title="آذربایجان غربی",</v>
      </c>
      <c r="O8" s="10" t="str">
        <f>_xlfn.TEXTJOIN("=",FALSE,C$2,C8)</f>
        <v>ParentId=1,</v>
      </c>
      <c r="P8" s="10" t="str">
        <f>_xlfn.TEXTJOIN("=",FALSE,D$2,D8)</f>
        <v>Guid=Guid.Parse("FB6689E8-65BE-464F-B342-B44B9E7C2943"),</v>
      </c>
      <c r="Q8" s="10" t="str">
        <f t="shared" ca="1" si="1"/>
        <v>CreatedDate=new DateTime (2026,3,25,4,26,24),</v>
      </c>
      <c r="R8" s="10" t="str">
        <f t="shared" si="1"/>
        <v>CreatedUserId=null,</v>
      </c>
      <c r="S8" s="10" t="str">
        <f t="shared" si="1"/>
        <v>Description= "Created by seeding data",</v>
      </c>
      <c r="T8" s="10" t="str">
        <f t="shared" si="1"/>
        <v>IsActive=true,</v>
      </c>
      <c r="U8" s="10" t="str">
        <f t="shared" si="1"/>
        <v>IsDeleted=false,</v>
      </c>
      <c r="V8" s="10" t="str">
        <f t="shared" si="1"/>
        <v>LastModifiedDate=null,</v>
      </c>
      <c r="W8" s="10" t="str">
        <f t="shared" si="1"/>
        <v>LastModifiedUserId=null</v>
      </c>
      <c r="X8" s="9" t="str">
        <f t="shared" ca="1" si="2"/>
        <v>Id=201,Title="آذربایجان غربی",ParentId=1,Guid=Guid.Parse("FB6689E8-65BE-464F-B342-B44B9E7C2943"),CreatedDate=new DateTime (2026,3,25,4,26,24),CreatedUserId=null,Description= "Created by seeding data",IsActive=true,IsDeleted=false,LastModifiedDate=null,LastModifiedUserId=null</v>
      </c>
      <c r="Y8" s="9" t="str">
        <f t="shared" ca="1" si="3"/>
        <v>new State{Id=201,Title="آذربایجان غربی",ParentId=1,Guid=Guid.Parse("FB6689E8-65BE-464F-B342-B44B9E7C2943"),CreatedDate=new DateTime (2026,3,25,4,26,24),CreatedUserId=null,Description= "Created by seeding data",IsActive=true,IsDeleted=false,LastModifiedDate=null,LastModifiedUserId=null},</v>
      </c>
    </row>
    <row r="9" spans="1:25" ht="19.5" x14ac:dyDescent="0.5">
      <c r="A9" s="1" t="str">
        <f t="shared" si="0"/>
        <v>202,</v>
      </c>
      <c r="B9" s="1" t="s">
        <v>409</v>
      </c>
      <c r="C9" s="1" t="s">
        <v>434</v>
      </c>
      <c r="D9" s="1" t="s">
        <v>214</v>
      </c>
      <c r="E9" s="1" t="str">
        <f ca="1">"new DateTime (" &amp; $C$1&amp;"),"</f>
        <v>new DateTime (2026,3,25,4,26,24),</v>
      </c>
      <c r="F9" s="1" t="str">
        <f>"null,"</f>
        <v>null,</v>
      </c>
      <c r="G9" s="1" t="s">
        <v>207</v>
      </c>
      <c r="H9" s="1" t="str">
        <f>"true,"</f>
        <v>true,</v>
      </c>
      <c r="I9" s="1" t="str">
        <f>"false,"</f>
        <v>false,</v>
      </c>
      <c r="J9" s="1" t="str">
        <f>"null,"</f>
        <v>null,</v>
      </c>
      <c r="K9" s="1" t="str">
        <f>"null"</f>
        <v>null</v>
      </c>
      <c r="L9" s="6"/>
      <c r="M9" s="10" t="str">
        <f>_xlfn.TEXTJOIN("=",FALSE,A$2,A9)</f>
        <v>Id=202,</v>
      </c>
      <c r="N9" s="10" t="str">
        <f>_xlfn.TEXTJOIN("=",FALSE,B$2,B9)</f>
        <v>Title="بوشهر",</v>
      </c>
      <c r="O9" s="10" t="str">
        <f>_xlfn.TEXTJOIN("=",FALSE,C$2,C9)</f>
        <v>ParentId=1,</v>
      </c>
      <c r="P9" s="10" t="str">
        <f>_xlfn.TEXTJOIN("=",FALSE,D$2,D9)</f>
        <v>Guid=Guid.Parse("F9B9F626-D16A-4D98-8B3B-8082CA392E17"),</v>
      </c>
      <c r="Q9" s="10" t="str">
        <f t="shared" ca="1" si="1"/>
        <v>CreatedDate=new DateTime (2026,3,25,4,26,24),</v>
      </c>
      <c r="R9" s="10" t="str">
        <f t="shared" si="1"/>
        <v>CreatedUserId=null,</v>
      </c>
      <c r="S9" s="10" t="str">
        <f t="shared" si="1"/>
        <v>Description= "Created by seeding data",</v>
      </c>
      <c r="T9" s="10" t="str">
        <f t="shared" si="1"/>
        <v>IsActive=true,</v>
      </c>
      <c r="U9" s="10" t="str">
        <f t="shared" si="1"/>
        <v>IsDeleted=false,</v>
      </c>
      <c r="V9" s="10" t="str">
        <f t="shared" si="1"/>
        <v>LastModifiedDate=null,</v>
      </c>
      <c r="W9" s="10" t="str">
        <f t="shared" si="1"/>
        <v>LastModifiedUserId=null</v>
      </c>
      <c r="X9" s="9" t="str">
        <f t="shared" ca="1" si="2"/>
        <v>Id=202,Title="بوشهر",ParentId=1,Guid=Guid.Parse("F9B9F626-D16A-4D98-8B3B-8082CA392E17"),CreatedDate=new DateTime (2026,3,25,4,26,24),CreatedUserId=null,Description= "Created by seeding data",IsActive=true,IsDeleted=false,LastModifiedDate=null,LastModifiedUserId=null</v>
      </c>
      <c r="Y9" s="9" t="str">
        <f t="shared" ca="1" si="3"/>
        <v>new State{Id=202,Title="بوشهر",ParentId=1,Guid=Guid.Parse("F9B9F626-D16A-4D98-8B3B-8082CA392E17"),CreatedDate=new DateTime (2026,3,25,4,26,24),CreatedUserId=null,Description= "Created by seeding data",IsActive=true,IsDeleted=false,LastModifiedDate=null,LastModifiedUserId=null},</v>
      </c>
    </row>
    <row r="10" spans="1:25" ht="19.5" x14ac:dyDescent="0.5">
      <c r="A10" s="1" t="str">
        <f t="shared" si="0"/>
        <v>203,</v>
      </c>
      <c r="B10" s="1" t="s">
        <v>410</v>
      </c>
      <c r="C10" s="1" t="s">
        <v>434</v>
      </c>
      <c r="D10" s="1" t="s">
        <v>215</v>
      </c>
      <c r="E10" s="1" t="str">
        <f ca="1">"new DateTime (" &amp; $C$1&amp;"),"</f>
        <v>new DateTime (2026,3,25,4,26,24),</v>
      </c>
      <c r="F10" s="1" t="str">
        <f>"null,"</f>
        <v>null,</v>
      </c>
      <c r="G10" s="1" t="s">
        <v>207</v>
      </c>
      <c r="H10" s="1" t="str">
        <f>"true,"</f>
        <v>true,</v>
      </c>
      <c r="I10" s="1" t="str">
        <f>"false,"</f>
        <v>false,</v>
      </c>
      <c r="J10" s="1" t="str">
        <f>"null,"</f>
        <v>null,</v>
      </c>
      <c r="K10" s="1" t="str">
        <f>"null"</f>
        <v>null</v>
      </c>
      <c r="L10" s="6"/>
      <c r="M10" s="10" t="str">
        <f>_xlfn.TEXTJOIN("=",FALSE,A$2,A10)</f>
        <v>Id=203,</v>
      </c>
      <c r="N10" s="10" t="str">
        <f>_xlfn.TEXTJOIN("=",FALSE,B$2,B10)</f>
        <v>Title="تهران",</v>
      </c>
      <c r="O10" s="10" t="str">
        <f>_xlfn.TEXTJOIN("=",FALSE,C$2,C10)</f>
        <v>ParentId=1,</v>
      </c>
      <c r="P10" s="10" t="str">
        <f>_xlfn.TEXTJOIN("=",FALSE,D$2,D10)</f>
        <v>Guid=Guid.Parse("B0CAFF84-9017-4553-8F8D-B44750585FF7"),</v>
      </c>
      <c r="Q10" s="10" t="str">
        <f t="shared" ca="1" si="1"/>
        <v>CreatedDate=new DateTime (2026,3,25,4,26,24),</v>
      </c>
      <c r="R10" s="10" t="str">
        <f t="shared" si="1"/>
        <v>CreatedUserId=null,</v>
      </c>
      <c r="S10" s="10" t="str">
        <f t="shared" si="1"/>
        <v>Description= "Created by seeding data",</v>
      </c>
      <c r="T10" s="10" t="str">
        <f t="shared" si="1"/>
        <v>IsActive=true,</v>
      </c>
      <c r="U10" s="10" t="str">
        <f t="shared" si="1"/>
        <v>IsDeleted=false,</v>
      </c>
      <c r="V10" s="10" t="str">
        <f t="shared" si="1"/>
        <v>LastModifiedDate=null,</v>
      </c>
      <c r="W10" s="10" t="str">
        <f t="shared" si="1"/>
        <v>LastModifiedUserId=null</v>
      </c>
      <c r="X10" s="9" t="str">
        <f t="shared" ca="1" si="2"/>
        <v>Id=203,Title="تهران",ParentId=1,Guid=Guid.Parse("B0CAFF84-9017-4553-8F8D-B44750585FF7"),CreatedDate=new DateTime (2026,3,25,4,26,24),CreatedUserId=null,Description= "Created by seeding data",IsActive=true,IsDeleted=false,LastModifiedDate=null,LastModifiedUserId=null</v>
      </c>
      <c r="Y10" s="9" t="str">
        <f t="shared" ca="1" si="3"/>
        <v>new State{Id=203,Title="تهران",ParentId=1,Guid=Guid.Parse("B0CAFF84-9017-4553-8F8D-B44750585FF7"),CreatedDate=new DateTime (2026,3,25,4,26,24),CreatedUserId=null,Description= "Created by seeding data",IsActive=true,IsDeleted=false,LastModifiedDate=null,LastModifiedUserId=null},</v>
      </c>
    </row>
    <row r="11" spans="1:25" ht="19.5" x14ac:dyDescent="0.5">
      <c r="A11" s="1" t="str">
        <f t="shared" si="0"/>
        <v>204,</v>
      </c>
      <c r="B11" s="1" t="s">
        <v>411</v>
      </c>
      <c r="C11" s="1" t="s">
        <v>434</v>
      </c>
      <c r="D11" s="1" t="s">
        <v>216</v>
      </c>
      <c r="E11" s="1" t="str">
        <f ca="1">"new DateTime (" &amp; $C$1&amp;"),"</f>
        <v>new DateTime (2026,3,25,4,26,24),</v>
      </c>
      <c r="F11" s="1" t="str">
        <f>"null,"</f>
        <v>null,</v>
      </c>
      <c r="G11" s="1" t="s">
        <v>207</v>
      </c>
      <c r="H11" s="1" t="str">
        <f>"true,"</f>
        <v>true,</v>
      </c>
      <c r="I11" s="1" t="str">
        <f>"false,"</f>
        <v>false,</v>
      </c>
      <c r="J11" s="1" t="str">
        <f>"null,"</f>
        <v>null,</v>
      </c>
      <c r="K11" s="1" t="str">
        <f>"null"</f>
        <v>null</v>
      </c>
      <c r="L11" s="6"/>
      <c r="M11" s="10" t="str">
        <f>_xlfn.TEXTJOIN("=",FALSE,A$2,A11)</f>
        <v>Id=204,</v>
      </c>
      <c r="N11" s="10" t="str">
        <f>_xlfn.TEXTJOIN("=",FALSE,B$2,B11)</f>
        <v>Title="چهارمحال و بختیاری",</v>
      </c>
      <c r="O11" s="10" t="str">
        <f>_xlfn.TEXTJOIN("=",FALSE,C$2,C11)</f>
        <v>ParentId=1,</v>
      </c>
      <c r="P11" s="10" t="str">
        <f>_xlfn.TEXTJOIN("=",FALSE,D$2,D11)</f>
        <v>Guid=Guid.Parse("9941FFC5-135B-416D-80D2-533B99B60A1F"),</v>
      </c>
      <c r="Q11" s="10" t="str">
        <f t="shared" ca="1" si="1"/>
        <v>CreatedDate=new DateTime (2026,3,25,4,26,24),</v>
      </c>
      <c r="R11" s="10" t="str">
        <f t="shared" si="1"/>
        <v>CreatedUserId=null,</v>
      </c>
      <c r="S11" s="10" t="str">
        <f t="shared" si="1"/>
        <v>Description= "Created by seeding data",</v>
      </c>
      <c r="T11" s="10" t="str">
        <f t="shared" si="1"/>
        <v>IsActive=true,</v>
      </c>
      <c r="U11" s="10" t="str">
        <f t="shared" si="1"/>
        <v>IsDeleted=false,</v>
      </c>
      <c r="V11" s="10" t="str">
        <f t="shared" si="1"/>
        <v>LastModifiedDate=null,</v>
      </c>
      <c r="W11" s="10" t="str">
        <f t="shared" si="1"/>
        <v>LastModifiedUserId=null</v>
      </c>
      <c r="X11" s="9" t="str">
        <f t="shared" ca="1" si="2"/>
        <v>Id=204,Title="چهارمحال و بختیاری",ParentId=1,Guid=Guid.Parse("9941FFC5-135B-416D-80D2-533B99B60A1F"),CreatedDate=new DateTime (2026,3,25,4,26,24),CreatedUserId=null,Description= "Created by seeding data",IsActive=true,IsDeleted=false,LastModifiedDate=null,LastModifiedUserId=null</v>
      </c>
      <c r="Y11" s="9" t="str">
        <f t="shared" ca="1" si="3"/>
        <v>new State{Id=204,Title="چهارمحال و بختیاری",ParentId=1,Guid=Guid.Parse("9941FFC5-135B-416D-80D2-533B99B60A1F"),CreatedDate=new DateTime (2026,3,25,4,26,24),CreatedUserId=null,Description= "Created by seeding data",IsActive=true,IsDeleted=false,LastModifiedDate=null,LastModifiedUserId=null},</v>
      </c>
    </row>
    <row r="12" spans="1:25" ht="19.5" x14ac:dyDescent="0.5">
      <c r="A12" s="1" t="str">
        <f t="shared" si="0"/>
        <v>205,</v>
      </c>
      <c r="B12" s="1" t="s">
        <v>412</v>
      </c>
      <c r="C12" s="1" t="s">
        <v>434</v>
      </c>
      <c r="D12" s="1" t="s">
        <v>217</v>
      </c>
      <c r="E12" s="1" t="str">
        <f ca="1">"new DateTime (" &amp; $C$1&amp;"),"</f>
        <v>new DateTime (2026,3,25,4,26,24),</v>
      </c>
      <c r="F12" s="1" t="str">
        <f>"null,"</f>
        <v>null,</v>
      </c>
      <c r="G12" s="1" t="s">
        <v>207</v>
      </c>
      <c r="H12" s="1" t="str">
        <f>"true,"</f>
        <v>true,</v>
      </c>
      <c r="I12" s="1" t="str">
        <f>"false,"</f>
        <v>false,</v>
      </c>
      <c r="J12" s="1" t="str">
        <f>"null,"</f>
        <v>null,</v>
      </c>
      <c r="K12" s="1" t="str">
        <f>"null"</f>
        <v>null</v>
      </c>
      <c r="L12" s="6"/>
      <c r="M12" s="10" t="str">
        <f>_xlfn.TEXTJOIN("=",FALSE,A$2,A12)</f>
        <v>Id=205,</v>
      </c>
      <c r="N12" s="10" t="str">
        <f>_xlfn.TEXTJOIN("=",FALSE,B$2,B12)</f>
        <v>Title="خراسان جنوبی",</v>
      </c>
      <c r="O12" s="10" t="str">
        <f>_xlfn.TEXTJOIN("=",FALSE,C$2,C12)</f>
        <v>ParentId=1,</v>
      </c>
      <c r="P12" s="10" t="str">
        <f>_xlfn.TEXTJOIN("=",FALSE,D$2,D12)</f>
        <v>Guid=Guid.Parse("0A151F0C-EE74-4E43-BE68-3CF59984F0DC"),</v>
      </c>
      <c r="Q12" s="10" t="str">
        <f t="shared" ca="1" si="1"/>
        <v>CreatedDate=new DateTime (2026,3,25,4,26,24),</v>
      </c>
      <c r="R12" s="10" t="str">
        <f t="shared" si="1"/>
        <v>CreatedUserId=null,</v>
      </c>
      <c r="S12" s="10" t="str">
        <f t="shared" si="1"/>
        <v>Description= "Created by seeding data",</v>
      </c>
      <c r="T12" s="10" t="str">
        <f t="shared" si="1"/>
        <v>IsActive=true,</v>
      </c>
      <c r="U12" s="10" t="str">
        <f t="shared" si="1"/>
        <v>IsDeleted=false,</v>
      </c>
      <c r="V12" s="10" t="str">
        <f t="shared" si="1"/>
        <v>LastModifiedDate=null,</v>
      </c>
      <c r="W12" s="10" t="str">
        <f t="shared" si="1"/>
        <v>LastModifiedUserId=null</v>
      </c>
      <c r="X12" s="9" t="str">
        <f t="shared" ca="1" si="2"/>
        <v>Id=205,Title="خراسان جنوبی",ParentId=1,Guid=Guid.Parse("0A151F0C-EE74-4E43-BE68-3CF59984F0DC"),CreatedDate=new DateTime (2026,3,25,4,26,24),CreatedUserId=null,Description= "Created by seeding data",IsActive=true,IsDeleted=false,LastModifiedDate=null,LastModifiedUserId=null</v>
      </c>
      <c r="Y12" s="9" t="str">
        <f t="shared" ca="1" si="3"/>
        <v>new State{Id=205,Title="خراسان جنوبی",ParentId=1,Guid=Guid.Parse("0A151F0C-EE74-4E43-BE68-3CF59984F0DC"),CreatedDate=new DateTime (2026,3,25,4,26,24),CreatedUserId=null,Description= "Created by seeding data",IsActive=true,IsDeleted=false,LastModifiedDate=null,LastModifiedUserId=null},</v>
      </c>
    </row>
    <row r="13" spans="1:25" ht="19.5" x14ac:dyDescent="0.5">
      <c r="A13" s="1" t="str">
        <f t="shared" si="0"/>
        <v>206,</v>
      </c>
      <c r="B13" s="1" t="s">
        <v>413</v>
      </c>
      <c r="C13" s="1" t="s">
        <v>434</v>
      </c>
      <c r="D13" s="1" t="s">
        <v>218</v>
      </c>
      <c r="E13" s="1" t="str">
        <f ca="1">"new DateTime (" &amp; $C$1&amp;"),"</f>
        <v>new DateTime (2026,3,25,4,26,24),</v>
      </c>
      <c r="F13" s="1" t="str">
        <f>"null,"</f>
        <v>null,</v>
      </c>
      <c r="G13" s="1" t="s">
        <v>207</v>
      </c>
      <c r="H13" s="1" t="str">
        <f>"true,"</f>
        <v>true,</v>
      </c>
      <c r="I13" s="1" t="str">
        <f>"false,"</f>
        <v>false,</v>
      </c>
      <c r="J13" s="1" t="str">
        <f>"null,"</f>
        <v>null,</v>
      </c>
      <c r="K13" s="1" t="str">
        <f>"null"</f>
        <v>null</v>
      </c>
      <c r="L13" s="6"/>
      <c r="M13" s="10" t="str">
        <f>_xlfn.TEXTJOIN("=",FALSE,A$2,A13)</f>
        <v>Id=206,</v>
      </c>
      <c r="N13" s="10" t="str">
        <f>_xlfn.TEXTJOIN("=",FALSE,B$2,B13)</f>
        <v>Title="خراسان رضوی",</v>
      </c>
      <c r="O13" s="10" t="str">
        <f>_xlfn.TEXTJOIN("=",FALSE,C$2,C13)</f>
        <v>ParentId=1,</v>
      </c>
      <c r="P13" s="10" t="str">
        <f>_xlfn.TEXTJOIN("=",FALSE,D$2,D13)</f>
        <v>Guid=Guid.Parse("4888D06E-5795-4858-BDD2-BE18B36CC60A"),</v>
      </c>
      <c r="Q13" s="10" t="str">
        <f t="shared" ca="1" si="1"/>
        <v>CreatedDate=new DateTime (2026,3,25,4,26,24),</v>
      </c>
      <c r="R13" s="10" t="str">
        <f t="shared" si="1"/>
        <v>CreatedUserId=null,</v>
      </c>
      <c r="S13" s="10" t="str">
        <f t="shared" si="1"/>
        <v>Description= "Created by seeding data",</v>
      </c>
      <c r="T13" s="10" t="str">
        <f t="shared" si="1"/>
        <v>IsActive=true,</v>
      </c>
      <c r="U13" s="10" t="str">
        <f t="shared" si="1"/>
        <v>IsDeleted=false,</v>
      </c>
      <c r="V13" s="10" t="str">
        <f t="shared" si="1"/>
        <v>LastModifiedDate=null,</v>
      </c>
      <c r="W13" s="10" t="str">
        <f t="shared" si="1"/>
        <v>LastModifiedUserId=null</v>
      </c>
      <c r="X13" s="9" t="str">
        <f t="shared" ca="1" si="2"/>
        <v>Id=206,Title="خراسان رضوی",ParentId=1,Guid=Guid.Parse("4888D06E-5795-4858-BDD2-BE18B36CC60A"),CreatedDate=new DateTime (2026,3,25,4,26,24),CreatedUserId=null,Description= "Created by seeding data",IsActive=true,IsDeleted=false,LastModifiedDate=null,LastModifiedUserId=null</v>
      </c>
      <c r="Y13" s="9" t="str">
        <f t="shared" ca="1" si="3"/>
        <v>new State{Id=206,Title="خراسان رضوی",ParentId=1,Guid=Guid.Parse("4888D06E-5795-4858-BDD2-BE18B36CC60A"),CreatedDate=new DateTime (2026,3,25,4,26,24),CreatedUserId=null,Description= "Created by seeding data",IsActive=true,IsDeleted=false,LastModifiedDate=null,LastModifiedUserId=null},</v>
      </c>
    </row>
    <row r="14" spans="1:25" ht="19.5" x14ac:dyDescent="0.5">
      <c r="A14" s="1" t="str">
        <f t="shared" si="0"/>
        <v>207,</v>
      </c>
      <c r="B14" s="1" t="s">
        <v>414</v>
      </c>
      <c r="C14" s="1" t="s">
        <v>434</v>
      </c>
      <c r="D14" s="1" t="s">
        <v>219</v>
      </c>
      <c r="E14" s="1" t="str">
        <f ca="1">"new DateTime (" &amp; $C$1&amp;"),"</f>
        <v>new DateTime (2026,3,25,4,26,24),</v>
      </c>
      <c r="F14" s="1" t="str">
        <f>"null,"</f>
        <v>null,</v>
      </c>
      <c r="G14" s="1" t="s">
        <v>207</v>
      </c>
      <c r="H14" s="1" t="str">
        <f>"true,"</f>
        <v>true,</v>
      </c>
      <c r="I14" s="1" t="str">
        <f>"false,"</f>
        <v>false,</v>
      </c>
      <c r="J14" s="1" t="str">
        <f>"null,"</f>
        <v>null,</v>
      </c>
      <c r="K14" s="1" t="str">
        <f>"null"</f>
        <v>null</v>
      </c>
      <c r="L14" s="6"/>
      <c r="M14" s="10" t="str">
        <f>_xlfn.TEXTJOIN("=",FALSE,A$2,A14)</f>
        <v>Id=207,</v>
      </c>
      <c r="N14" s="10" t="str">
        <f>_xlfn.TEXTJOIN("=",FALSE,B$2,B14)</f>
        <v>Title="خراسان شمالی",</v>
      </c>
      <c r="O14" s="10" t="str">
        <f>_xlfn.TEXTJOIN("=",FALSE,C$2,C14)</f>
        <v>ParentId=1,</v>
      </c>
      <c r="P14" s="10" t="str">
        <f>_xlfn.TEXTJOIN("=",FALSE,D$2,D14)</f>
        <v>Guid=Guid.Parse("7D9E9680-5CDE-421B-AB43-EC05A2EE0CFF"),</v>
      </c>
      <c r="Q14" s="10" t="str">
        <f t="shared" ca="1" si="1"/>
        <v>CreatedDate=new DateTime (2026,3,25,4,26,24),</v>
      </c>
      <c r="R14" s="10" t="str">
        <f t="shared" si="1"/>
        <v>CreatedUserId=null,</v>
      </c>
      <c r="S14" s="10" t="str">
        <f t="shared" si="1"/>
        <v>Description= "Created by seeding data",</v>
      </c>
      <c r="T14" s="10" t="str">
        <f t="shared" si="1"/>
        <v>IsActive=true,</v>
      </c>
      <c r="U14" s="10" t="str">
        <f t="shared" si="1"/>
        <v>IsDeleted=false,</v>
      </c>
      <c r="V14" s="10" t="str">
        <f t="shared" si="1"/>
        <v>LastModifiedDate=null,</v>
      </c>
      <c r="W14" s="10" t="str">
        <f t="shared" si="1"/>
        <v>LastModifiedUserId=null</v>
      </c>
      <c r="X14" s="9" t="str">
        <f t="shared" ca="1" si="2"/>
        <v>Id=207,Title="خراسان شمالی",ParentId=1,Guid=Guid.Parse("7D9E9680-5CDE-421B-AB43-EC05A2EE0CFF"),CreatedDate=new DateTime (2026,3,25,4,26,24),CreatedUserId=null,Description= "Created by seeding data",IsActive=true,IsDeleted=false,LastModifiedDate=null,LastModifiedUserId=null</v>
      </c>
      <c r="Y14" s="9" t="str">
        <f t="shared" ca="1" si="3"/>
        <v>new State{Id=207,Title="خراسان شمالی",ParentId=1,Guid=Guid.Parse("7D9E9680-5CDE-421B-AB43-EC05A2EE0CFF"),CreatedDate=new DateTime (2026,3,25,4,26,24),CreatedUserId=null,Description= "Created by seeding data",IsActive=true,IsDeleted=false,LastModifiedDate=null,LastModifiedUserId=null},</v>
      </c>
    </row>
    <row r="15" spans="1:25" ht="19.5" x14ac:dyDescent="0.5">
      <c r="A15" s="1" t="str">
        <f t="shared" si="0"/>
        <v>208,</v>
      </c>
      <c r="B15" s="1" t="s">
        <v>415</v>
      </c>
      <c r="C15" s="1" t="s">
        <v>434</v>
      </c>
      <c r="D15" s="1" t="s">
        <v>220</v>
      </c>
      <c r="E15" s="1" t="str">
        <f ca="1">"new DateTime (" &amp; $C$1&amp;"),"</f>
        <v>new DateTime (2026,3,25,4,26,24),</v>
      </c>
      <c r="F15" s="1" t="str">
        <f>"null,"</f>
        <v>null,</v>
      </c>
      <c r="G15" s="1" t="s">
        <v>207</v>
      </c>
      <c r="H15" s="1" t="str">
        <f>"true,"</f>
        <v>true,</v>
      </c>
      <c r="I15" s="1" t="str">
        <f>"false,"</f>
        <v>false,</v>
      </c>
      <c r="J15" s="1" t="str">
        <f>"null,"</f>
        <v>null,</v>
      </c>
      <c r="K15" s="1" t="str">
        <f>"null"</f>
        <v>null</v>
      </c>
      <c r="L15" s="6"/>
      <c r="M15" s="10" t="str">
        <f>_xlfn.TEXTJOIN("=",FALSE,A$2,A15)</f>
        <v>Id=208,</v>
      </c>
      <c r="N15" s="10" t="str">
        <f>_xlfn.TEXTJOIN("=",FALSE,B$2,B15)</f>
        <v>Title="خوزستان",</v>
      </c>
      <c r="O15" s="10" t="str">
        <f>_xlfn.TEXTJOIN("=",FALSE,C$2,C15)</f>
        <v>ParentId=1,</v>
      </c>
      <c r="P15" s="10" t="str">
        <f>_xlfn.TEXTJOIN("=",FALSE,D$2,D15)</f>
        <v>Guid=Guid.Parse("23AFDA54-E86A-4D4A-9F59-5C572CF72245"),</v>
      </c>
      <c r="Q15" s="10" t="str">
        <f t="shared" ca="1" si="1"/>
        <v>CreatedDate=new DateTime (2026,3,25,4,26,24),</v>
      </c>
      <c r="R15" s="10" t="str">
        <f t="shared" si="1"/>
        <v>CreatedUserId=null,</v>
      </c>
      <c r="S15" s="10" t="str">
        <f t="shared" si="1"/>
        <v>Description= "Created by seeding data",</v>
      </c>
      <c r="T15" s="10" t="str">
        <f t="shared" si="1"/>
        <v>IsActive=true,</v>
      </c>
      <c r="U15" s="10" t="str">
        <f t="shared" si="1"/>
        <v>IsDeleted=false,</v>
      </c>
      <c r="V15" s="10" t="str">
        <f t="shared" si="1"/>
        <v>LastModifiedDate=null,</v>
      </c>
      <c r="W15" s="10" t="str">
        <f t="shared" si="1"/>
        <v>LastModifiedUserId=null</v>
      </c>
      <c r="X15" s="9" t="str">
        <f t="shared" ca="1" si="2"/>
        <v>Id=208,Title="خوزستان",ParentId=1,Guid=Guid.Parse("23AFDA54-E86A-4D4A-9F59-5C572CF72245"),CreatedDate=new DateTime (2026,3,25,4,26,24),CreatedUserId=null,Description= "Created by seeding data",IsActive=true,IsDeleted=false,LastModifiedDate=null,LastModifiedUserId=null</v>
      </c>
      <c r="Y15" s="9" t="str">
        <f t="shared" ca="1" si="3"/>
        <v>new State{Id=208,Title="خوزستان",ParentId=1,Guid=Guid.Parse("23AFDA54-E86A-4D4A-9F59-5C572CF72245"),CreatedDate=new DateTime (2026,3,25,4,26,24),CreatedUserId=null,Description= "Created by seeding data",IsActive=true,IsDeleted=false,LastModifiedDate=null,LastModifiedUserId=null},</v>
      </c>
    </row>
    <row r="16" spans="1:25" ht="19.5" x14ac:dyDescent="0.5">
      <c r="A16" s="1" t="str">
        <f t="shared" si="0"/>
        <v>209,</v>
      </c>
      <c r="B16" s="1" t="s">
        <v>416</v>
      </c>
      <c r="C16" s="1" t="s">
        <v>434</v>
      </c>
      <c r="D16" s="1" t="s">
        <v>221</v>
      </c>
      <c r="E16" s="1" t="str">
        <f ca="1">"new DateTime (" &amp; $C$1&amp;"),"</f>
        <v>new DateTime (2026,3,25,4,26,24),</v>
      </c>
      <c r="F16" s="1" t="str">
        <f>"null,"</f>
        <v>null,</v>
      </c>
      <c r="G16" s="1" t="s">
        <v>207</v>
      </c>
      <c r="H16" s="1" t="str">
        <f>"true,"</f>
        <v>true,</v>
      </c>
      <c r="I16" s="1" t="str">
        <f>"false,"</f>
        <v>false,</v>
      </c>
      <c r="J16" s="1" t="str">
        <f>"null,"</f>
        <v>null,</v>
      </c>
      <c r="K16" s="1" t="str">
        <f>"null"</f>
        <v>null</v>
      </c>
      <c r="L16" s="6"/>
      <c r="M16" s="10" t="str">
        <f>_xlfn.TEXTJOIN("=",FALSE,A$2,A16)</f>
        <v>Id=209,</v>
      </c>
      <c r="N16" s="10" t="str">
        <f>_xlfn.TEXTJOIN("=",FALSE,B$2,B16)</f>
        <v>Title="زنجان",</v>
      </c>
      <c r="O16" s="10" t="str">
        <f>_xlfn.TEXTJOIN("=",FALSE,C$2,C16)</f>
        <v>ParentId=1,</v>
      </c>
      <c r="P16" s="10" t="str">
        <f>_xlfn.TEXTJOIN("=",FALSE,D$2,D16)</f>
        <v>Guid=Guid.Parse("A4A77F00-05EE-47DD-AEF7-2D3497E973AE"),</v>
      </c>
      <c r="Q16" s="10" t="str">
        <f t="shared" ca="1" si="1"/>
        <v>CreatedDate=new DateTime (2026,3,25,4,26,24),</v>
      </c>
      <c r="R16" s="10" t="str">
        <f t="shared" si="1"/>
        <v>CreatedUserId=null,</v>
      </c>
      <c r="S16" s="10" t="str">
        <f t="shared" si="1"/>
        <v>Description= "Created by seeding data",</v>
      </c>
      <c r="T16" s="10" t="str">
        <f t="shared" si="1"/>
        <v>IsActive=true,</v>
      </c>
      <c r="U16" s="10" t="str">
        <f t="shared" si="1"/>
        <v>IsDeleted=false,</v>
      </c>
      <c r="V16" s="10" t="str">
        <f t="shared" si="1"/>
        <v>LastModifiedDate=null,</v>
      </c>
      <c r="W16" s="10" t="str">
        <f t="shared" si="1"/>
        <v>LastModifiedUserId=null</v>
      </c>
      <c r="X16" s="9" t="str">
        <f t="shared" ca="1" si="2"/>
        <v>Id=209,Title="زنجان",ParentId=1,Guid=Guid.Parse("A4A77F00-05EE-47DD-AEF7-2D3497E973AE"),CreatedDate=new DateTime (2026,3,25,4,26,24),CreatedUserId=null,Description= "Created by seeding data",IsActive=true,IsDeleted=false,LastModifiedDate=null,LastModifiedUserId=null</v>
      </c>
      <c r="Y16" s="9" t="str">
        <f t="shared" ca="1" si="3"/>
        <v>new State{Id=209,Title="زنجان",ParentId=1,Guid=Guid.Parse("A4A77F00-05EE-47DD-AEF7-2D3497E973AE"),CreatedDate=new DateTime (2026,3,25,4,26,24),CreatedUserId=null,Description= "Created by seeding data",IsActive=true,IsDeleted=false,LastModifiedDate=null,LastModifiedUserId=null},</v>
      </c>
    </row>
    <row r="17" spans="1:25" ht="19.5" x14ac:dyDescent="0.5">
      <c r="A17" s="1" t="str">
        <f t="shared" si="0"/>
        <v>210,</v>
      </c>
      <c r="B17" s="1" t="s">
        <v>417</v>
      </c>
      <c r="C17" s="1" t="s">
        <v>434</v>
      </c>
      <c r="D17" s="1" t="s">
        <v>222</v>
      </c>
      <c r="E17" s="1" t="str">
        <f ca="1">"new DateTime (" &amp; $C$1&amp;"),"</f>
        <v>new DateTime (2026,3,25,4,26,24),</v>
      </c>
      <c r="F17" s="1" t="str">
        <f>"null,"</f>
        <v>null,</v>
      </c>
      <c r="G17" s="1" t="s">
        <v>207</v>
      </c>
      <c r="H17" s="1" t="str">
        <f>"true,"</f>
        <v>true,</v>
      </c>
      <c r="I17" s="1" t="str">
        <f>"false,"</f>
        <v>false,</v>
      </c>
      <c r="J17" s="1" t="str">
        <f>"null,"</f>
        <v>null,</v>
      </c>
      <c r="K17" s="1" t="str">
        <f>"null"</f>
        <v>null</v>
      </c>
      <c r="L17" s="6"/>
      <c r="M17" s="10" t="str">
        <f>_xlfn.TEXTJOIN("=",FALSE,A$2,A17)</f>
        <v>Id=210,</v>
      </c>
      <c r="N17" s="10" t="str">
        <f>_xlfn.TEXTJOIN("=",FALSE,B$2,B17)</f>
        <v>Title="سمنان",</v>
      </c>
      <c r="O17" s="10" t="str">
        <f>_xlfn.TEXTJOIN("=",FALSE,C$2,C17)</f>
        <v>ParentId=1,</v>
      </c>
      <c r="P17" s="10" t="str">
        <f>_xlfn.TEXTJOIN("=",FALSE,D$2,D17)</f>
        <v>Guid=Guid.Parse("F8D3CF33-78CE-4900-B672-75320B4B5D9C"),</v>
      </c>
      <c r="Q17" s="10" t="str">
        <f t="shared" ca="1" si="1"/>
        <v>CreatedDate=new DateTime (2026,3,25,4,26,24),</v>
      </c>
      <c r="R17" s="10" t="str">
        <f t="shared" si="1"/>
        <v>CreatedUserId=null,</v>
      </c>
      <c r="S17" s="10" t="str">
        <f t="shared" si="1"/>
        <v>Description= "Created by seeding data",</v>
      </c>
      <c r="T17" s="10" t="str">
        <f t="shared" si="1"/>
        <v>IsActive=true,</v>
      </c>
      <c r="U17" s="10" t="str">
        <f t="shared" si="1"/>
        <v>IsDeleted=false,</v>
      </c>
      <c r="V17" s="10" t="str">
        <f t="shared" si="1"/>
        <v>LastModifiedDate=null,</v>
      </c>
      <c r="W17" s="10" t="str">
        <f t="shared" si="1"/>
        <v>LastModifiedUserId=null</v>
      </c>
      <c r="X17" s="9" t="str">
        <f t="shared" ca="1" si="2"/>
        <v>Id=210,Title="سمنان",ParentId=1,Guid=Guid.Parse("F8D3CF33-78CE-4900-B672-75320B4B5D9C"),CreatedDate=new DateTime (2026,3,25,4,26,24),CreatedUserId=null,Description= "Created by seeding data",IsActive=true,IsDeleted=false,LastModifiedDate=null,LastModifiedUserId=null</v>
      </c>
      <c r="Y17" s="9" t="str">
        <f t="shared" ca="1" si="3"/>
        <v>new State{Id=210,Title="سمنان",ParentId=1,Guid=Guid.Parse("F8D3CF33-78CE-4900-B672-75320B4B5D9C"),CreatedDate=new DateTime (2026,3,25,4,26,24),CreatedUserId=null,Description= "Created by seeding data",IsActive=true,IsDeleted=false,LastModifiedDate=null,LastModifiedUserId=null},</v>
      </c>
    </row>
    <row r="18" spans="1:25" ht="19.5" x14ac:dyDescent="0.5">
      <c r="A18" s="1" t="str">
        <f t="shared" si="0"/>
        <v>211,</v>
      </c>
      <c r="B18" s="1" t="s">
        <v>418</v>
      </c>
      <c r="C18" s="1" t="s">
        <v>434</v>
      </c>
      <c r="D18" s="1" t="s">
        <v>223</v>
      </c>
      <c r="E18" s="1" t="str">
        <f ca="1">"new DateTime (" &amp; $C$1&amp;"),"</f>
        <v>new DateTime (2026,3,25,4,26,24),</v>
      </c>
      <c r="F18" s="1" t="str">
        <f>"null,"</f>
        <v>null,</v>
      </c>
      <c r="G18" s="1" t="s">
        <v>207</v>
      </c>
      <c r="H18" s="1" t="str">
        <f>"true,"</f>
        <v>true,</v>
      </c>
      <c r="I18" s="1" t="str">
        <f>"false,"</f>
        <v>false,</v>
      </c>
      <c r="J18" s="1" t="str">
        <f>"null,"</f>
        <v>null,</v>
      </c>
      <c r="K18" s="1" t="str">
        <f>"null"</f>
        <v>null</v>
      </c>
      <c r="L18" s="6"/>
      <c r="M18" s="10" t="str">
        <f>_xlfn.TEXTJOIN("=",FALSE,A$2,A18)</f>
        <v>Id=211,</v>
      </c>
      <c r="N18" s="10" t="str">
        <f>_xlfn.TEXTJOIN("=",FALSE,B$2,B18)</f>
        <v>Title="سیستان و بلوچستان",</v>
      </c>
      <c r="O18" s="10" t="str">
        <f>_xlfn.TEXTJOIN("=",FALSE,C$2,C18)</f>
        <v>ParentId=1,</v>
      </c>
      <c r="P18" s="10" t="str">
        <f>_xlfn.TEXTJOIN("=",FALSE,D$2,D18)</f>
        <v>Guid=Guid.Parse("EE5198A1-AD54-40E4-9680-30F25EF9ABB2"),</v>
      </c>
      <c r="Q18" s="10" t="str">
        <f t="shared" ca="1" si="1"/>
        <v>CreatedDate=new DateTime (2026,3,25,4,26,24),</v>
      </c>
      <c r="R18" s="10" t="str">
        <f t="shared" si="1"/>
        <v>CreatedUserId=null,</v>
      </c>
      <c r="S18" s="10" t="str">
        <f t="shared" si="1"/>
        <v>Description= "Created by seeding data",</v>
      </c>
      <c r="T18" s="10" t="str">
        <f t="shared" si="1"/>
        <v>IsActive=true,</v>
      </c>
      <c r="U18" s="10" t="str">
        <f t="shared" si="1"/>
        <v>IsDeleted=false,</v>
      </c>
      <c r="V18" s="10" t="str">
        <f t="shared" si="1"/>
        <v>LastModifiedDate=null,</v>
      </c>
      <c r="W18" s="10" t="str">
        <f t="shared" si="1"/>
        <v>LastModifiedUserId=null</v>
      </c>
      <c r="X18" s="9" t="str">
        <f t="shared" ca="1" si="2"/>
        <v>Id=211,Title="سیستان و بلوچستان",ParentId=1,Guid=Guid.Parse("EE5198A1-AD54-40E4-9680-30F25EF9ABB2"),CreatedDate=new DateTime (2026,3,25,4,26,24),CreatedUserId=null,Description= "Created by seeding data",IsActive=true,IsDeleted=false,LastModifiedDate=null,LastModifiedUserId=null</v>
      </c>
      <c r="Y18" s="9" t="str">
        <f t="shared" ca="1" si="3"/>
        <v>new State{Id=211,Title="سیستان و بلوچستان",ParentId=1,Guid=Guid.Parse("EE5198A1-AD54-40E4-9680-30F25EF9ABB2"),CreatedDate=new DateTime (2026,3,25,4,26,24),CreatedUserId=null,Description= "Created by seeding data",IsActive=true,IsDeleted=false,LastModifiedDate=null,LastModifiedUserId=null},</v>
      </c>
    </row>
    <row r="19" spans="1:25" ht="19.5" x14ac:dyDescent="0.5">
      <c r="A19" s="1" t="str">
        <f t="shared" si="0"/>
        <v>212,</v>
      </c>
      <c r="B19" s="1" t="s">
        <v>419</v>
      </c>
      <c r="C19" s="1" t="s">
        <v>434</v>
      </c>
      <c r="D19" s="1" t="s">
        <v>224</v>
      </c>
      <c r="E19" s="1" t="str">
        <f ca="1">"new DateTime (" &amp; $C$1&amp;"),"</f>
        <v>new DateTime (2026,3,25,4,26,24),</v>
      </c>
      <c r="F19" s="1" t="str">
        <f>"null,"</f>
        <v>null,</v>
      </c>
      <c r="G19" s="1" t="s">
        <v>207</v>
      </c>
      <c r="H19" s="1" t="str">
        <f>"true,"</f>
        <v>true,</v>
      </c>
      <c r="I19" s="1" t="str">
        <f>"false,"</f>
        <v>false,</v>
      </c>
      <c r="J19" s="1" t="str">
        <f>"null,"</f>
        <v>null,</v>
      </c>
      <c r="K19" s="1" t="str">
        <f>"null"</f>
        <v>null</v>
      </c>
      <c r="L19" s="6"/>
      <c r="M19" s="10" t="str">
        <f>_xlfn.TEXTJOIN("=",FALSE,A$2,A19)</f>
        <v>Id=212,</v>
      </c>
      <c r="N19" s="10" t="str">
        <f>_xlfn.TEXTJOIN("=",FALSE,B$2,B19)</f>
        <v>Title="فارس",</v>
      </c>
      <c r="O19" s="10" t="str">
        <f>_xlfn.TEXTJOIN("=",FALSE,C$2,C19)</f>
        <v>ParentId=1,</v>
      </c>
      <c r="P19" s="10" t="str">
        <f>_xlfn.TEXTJOIN("=",FALSE,D$2,D19)</f>
        <v>Guid=Guid.Parse("C3E7C672-BCF4-48B3-9C1B-5BF5A598C929"),</v>
      </c>
      <c r="Q19" s="10" t="str">
        <f t="shared" ca="1" si="1"/>
        <v>CreatedDate=new DateTime (2026,3,25,4,26,24),</v>
      </c>
      <c r="R19" s="10" t="str">
        <f t="shared" si="1"/>
        <v>CreatedUserId=null,</v>
      </c>
      <c r="S19" s="10" t="str">
        <f t="shared" si="1"/>
        <v>Description= "Created by seeding data",</v>
      </c>
      <c r="T19" s="10" t="str">
        <f t="shared" si="1"/>
        <v>IsActive=true,</v>
      </c>
      <c r="U19" s="10" t="str">
        <f t="shared" si="1"/>
        <v>IsDeleted=false,</v>
      </c>
      <c r="V19" s="10" t="str">
        <f t="shared" si="1"/>
        <v>LastModifiedDate=null,</v>
      </c>
      <c r="W19" s="10" t="str">
        <f t="shared" si="1"/>
        <v>LastModifiedUserId=null</v>
      </c>
      <c r="X19" s="9" t="str">
        <f t="shared" ca="1" si="2"/>
        <v>Id=212,Title="فارس",ParentId=1,Guid=Guid.Parse("C3E7C672-BCF4-48B3-9C1B-5BF5A598C929"),CreatedDate=new DateTime (2026,3,25,4,26,24),CreatedUserId=null,Description= "Created by seeding data",IsActive=true,IsDeleted=false,LastModifiedDate=null,LastModifiedUserId=null</v>
      </c>
      <c r="Y19" s="9" t="str">
        <f t="shared" ca="1" si="3"/>
        <v>new State{Id=212,Title="فارس",ParentId=1,Guid=Guid.Parse("C3E7C672-BCF4-48B3-9C1B-5BF5A598C929"),CreatedDate=new DateTime (2026,3,25,4,26,24),CreatedUserId=null,Description= "Created by seeding data",IsActive=true,IsDeleted=false,LastModifiedDate=null,LastModifiedUserId=null},</v>
      </c>
    </row>
    <row r="20" spans="1:25" ht="19.5" x14ac:dyDescent="0.5">
      <c r="A20" s="1" t="str">
        <f t="shared" si="0"/>
        <v>213,</v>
      </c>
      <c r="B20" s="1" t="s">
        <v>420</v>
      </c>
      <c r="C20" s="1" t="s">
        <v>434</v>
      </c>
      <c r="D20" s="1" t="s">
        <v>225</v>
      </c>
      <c r="E20" s="1" t="str">
        <f ca="1">"new DateTime (" &amp; $C$1&amp;"),"</f>
        <v>new DateTime (2026,3,25,4,26,24),</v>
      </c>
      <c r="F20" s="1" t="str">
        <f>"null,"</f>
        <v>null,</v>
      </c>
      <c r="G20" s="1" t="s">
        <v>207</v>
      </c>
      <c r="H20" s="1" t="str">
        <f>"true,"</f>
        <v>true,</v>
      </c>
      <c r="I20" s="1" t="str">
        <f>"false,"</f>
        <v>false,</v>
      </c>
      <c r="J20" s="1" t="str">
        <f>"null,"</f>
        <v>null,</v>
      </c>
      <c r="K20" s="1" t="str">
        <f>"null"</f>
        <v>null</v>
      </c>
      <c r="L20" s="6"/>
      <c r="M20" s="10" t="str">
        <f>_xlfn.TEXTJOIN("=",FALSE,A$2,A20)</f>
        <v>Id=213,</v>
      </c>
      <c r="N20" s="10" t="str">
        <f>_xlfn.TEXTJOIN("=",FALSE,B$2,B20)</f>
        <v>Title="قزوین",</v>
      </c>
      <c r="O20" s="10" t="str">
        <f>_xlfn.TEXTJOIN("=",FALSE,C$2,C20)</f>
        <v>ParentId=1,</v>
      </c>
      <c r="P20" s="10" t="str">
        <f>_xlfn.TEXTJOIN("=",FALSE,D$2,D20)</f>
        <v>Guid=Guid.Parse("37C27644-5427-4AF7-B728-D860082A366F"),</v>
      </c>
      <c r="Q20" s="10" t="str">
        <f t="shared" ca="1" si="1"/>
        <v>CreatedDate=new DateTime (2026,3,25,4,26,24),</v>
      </c>
      <c r="R20" s="10" t="str">
        <f t="shared" si="1"/>
        <v>CreatedUserId=null,</v>
      </c>
      <c r="S20" s="10" t="str">
        <f t="shared" si="1"/>
        <v>Description= "Created by seeding data",</v>
      </c>
      <c r="T20" s="10" t="str">
        <f t="shared" si="1"/>
        <v>IsActive=true,</v>
      </c>
      <c r="U20" s="10" t="str">
        <f t="shared" si="1"/>
        <v>IsDeleted=false,</v>
      </c>
      <c r="V20" s="10" t="str">
        <f t="shared" si="1"/>
        <v>LastModifiedDate=null,</v>
      </c>
      <c r="W20" s="10" t="str">
        <f t="shared" si="1"/>
        <v>LastModifiedUserId=null</v>
      </c>
      <c r="X20" s="9" t="str">
        <f t="shared" ca="1" si="2"/>
        <v>Id=213,Title="قزوین",ParentId=1,Guid=Guid.Parse("37C27644-5427-4AF7-B728-D860082A366F"),CreatedDate=new DateTime (2026,3,25,4,26,24),CreatedUserId=null,Description= "Created by seeding data",IsActive=true,IsDeleted=false,LastModifiedDate=null,LastModifiedUserId=null</v>
      </c>
      <c r="Y20" s="9" t="str">
        <f t="shared" ca="1" si="3"/>
        <v>new State{Id=213,Title="قزوین",ParentId=1,Guid=Guid.Parse("37C27644-5427-4AF7-B728-D860082A366F"),CreatedDate=new DateTime (2026,3,25,4,26,24),CreatedUserId=null,Description= "Created by seeding data",IsActive=true,IsDeleted=false,LastModifiedDate=null,LastModifiedUserId=null},</v>
      </c>
    </row>
    <row r="21" spans="1:25" ht="19.5" x14ac:dyDescent="0.5">
      <c r="A21" s="1" t="str">
        <f t="shared" si="0"/>
        <v>214,</v>
      </c>
      <c r="B21" s="1" t="s">
        <v>421</v>
      </c>
      <c r="C21" s="1" t="s">
        <v>434</v>
      </c>
      <c r="D21" s="1" t="s">
        <v>226</v>
      </c>
      <c r="E21" s="1" t="str">
        <f ca="1">"new DateTime (" &amp; $C$1&amp;"),"</f>
        <v>new DateTime (2026,3,25,4,26,24),</v>
      </c>
      <c r="F21" s="1" t="str">
        <f>"null,"</f>
        <v>null,</v>
      </c>
      <c r="G21" s="1" t="s">
        <v>207</v>
      </c>
      <c r="H21" s="1" t="str">
        <f>"true,"</f>
        <v>true,</v>
      </c>
      <c r="I21" s="1" t="str">
        <f>"false,"</f>
        <v>false,</v>
      </c>
      <c r="J21" s="1" t="str">
        <f>"null,"</f>
        <v>null,</v>
      </c>
      <c r="K21" s="1" t="str">
        <f>"null"</f>
        <v>null</v>
      </c>
      <c r="L21" s="6"/>
      <c r="M21" s="10" t="str">
        <f>_xlfn.TEXTJOIN("=",FALSE,A$2,A21)</f>
        <v>Id=214,</v>
      </c>
      <c r="N21" s="10" t="str">
        <f>_xlfn.TEXTJOIN("=",FALSE,B$2,B21)</f>
        <v>Title="قم",</v>
      </c>
      <c r="O21" s="10" t="str">
        <f>_xlfn.TEXTJOIN("=",FALSE,C$2,C21)</f>
        <v>ParentId=1,</v>
      </c>
      <c r="P21" s="10" t="str">
        <f>_xlfn.TEXTJOIN("=",FALSE,D$2,D21)</f>
        <v>Guid=Guid.Parse("A26C68F8-A25B-46C5-9D3B-E9855DF2285A"),</v>
      </c>
      <c r="Q21" s="10" t="str">
        <f t="shared" ca="1" si="1"/>
        <v>CreatedDate=new DateTime (2026,3,25,4,26,24),</v>
      </c>
      <c r="R21" s="10" t="str">
        <f t="shared" si="1"/>
        <v>CreatedUserId=null,</v>
      </c>
      <c r="S21" s="10" t="str">
        <f t="shared" si="1"/>
        <v>Description= "Created by seeding data",</v>
      </c>
      <c r="T21" s="10" t="str">
        <f t="shared" si="1"/>
        <v>IsActive=true,</v>
      </c>
      <c r="U21" s="10" t="str">
        <f t="shared" si="1"/>
        <v>IsDeleted=false,</v>
      </c>
      <c r="V21" s="10" t="str">
        <f t="shared" si="1"/>
        <v>LastModifiedDate=null,</v>
      </c>
      <c r="W21" s="10" t="str">
        <f t="shared" si="1"/>
        <v>LastModifiedUserId=null</v>
      </c>
      <c r="X21" s="9" t="str">
        <f t="shared" ca="1" si="2"/>
        <v>Id=214,Title="قم",ParentId=1,Guid=Guid.Parse("A26C68F8-A25B-46C5-9D3B-E9855DF2285A"),CreatedDate=new DateTime (2026,3,25,4,26,24),CreatedUserId=null,Description= "Created by seeding data",IsActive=true,IsDeleted=false,LastModifiedDate=null,LastModifiedUserId=null</v>
      </c>
      <c r="Y21" s="9" t="str">
        <f t="shared" ca="1" si="3"/>
        <v>new State{Id=214,Title="قم",ParentId=1,Guid=Guid.Parse("A26C68F8-A25B-46C5-9D3B-E9855DF2285A"),CreatedDate=new DateTime (2026,3,25,4,26,24),CreatedUserId=null,Description= "Created by seeding data",IsActive=true,IsDeleted=false,LastModifiedDate=null,LastModifiedUserId=null},</v>
      </c>
    </row>
    <row r="22" spans="1:25" ht="19.5" x14ac:dyDescent="0.5">
      <c r="A22" s="1" t="str">
        <f t="shared" si="0"/>
        <v>215,</v>
      </c>
      <c r="B22" s="1" t="s">
        <v>422</v>
      </c>
      <c r="C22" s="1" t="s">
        <v>434</v>
      </c>
      <c r="D22" s="1" t="s">
        <v>227</v>
      </c>
      <c r="E22" s="1" t="str">
        <f ca="1">"new DateTime (" &amp; $C$1&amp;"),"</f>
        <v>new DateTime (2026,3,25,4,26,24),</v>
      </c>
      <c r="F22" s="1" t="str">
        <f>"null,"</f>
        <v>null,</v>
      </c>
      <c r="G22" s="1" t="s">
        <v>207</v>
      </c>
      <c r="H22" s="1" t="str">
        <f>"true,"</f>
        <v>true,</v>
      </c>
      <c r="I22" s="1" t="str">
        <f>"false,"</f>
        <v>false,</v>
      </c>
      <c r="J22" s="1" t="str">
        <f>"null,"</f>
        <v>null,</v>
      </c>
      <c r="K22" s="1" t="str">
        <f>"null"</f>
        <v>null</v>
      </c>
      <c r="L22" s="6"/>
      <c r="M22" s="10" t="str">
        <f>_xlfn.TEXTJOIN("=",FALSE,A$2,A22)</f>
        <v>Id=215,</v>
      </c>
      <c r="N22" s="10" t="str">
        <f>_xlfn.TEXTJOIN("=",FALSE,B$2,B22)</f>
        <v>Title="کردستان",</v>
      </c>
      <c r="O22" s="10" t="str">
        <f>_xlfn.TEXTJOIN("=",FALSE,C$2,C22)</f>
        <v>ParentId=1,</v>
      </c>
      <c r="P22" s="10" t="str">
        <f>_xlfn.TEXTJOIN("=",FALSE,D$2,D22)</f>
        <v>Guid=Guid.Parse("18A49860-1390-495C-A2C4-39CC53417F9D"),</v>
      </c>
      <c r="Q22" s="10" t="str">
        <f t="shared" ca="1" si="1"/>
        <v>CreatedDate=new DateTime (2026,3,25,4,26,24),</v>
      </c>
      <c r="R22" s="10" t="str">
        <f t="shared" si="1"/>
        <v>CreatedUserId=null,</v>
      </c>
      <c r="S22" s="10" t="str">
        <f t="shared" si="1"/>
        <v>Description= "Created by seeding data",</v>
      </c>
      <c r="T22" s="10" t="str">
        <f t="shared" si="1"/>
        <v>IsActive=true,</v>
      </c>
      <c r="U22" s="10" t="str">
        <f t="shared" si="1"/>
        <v>IsDeleted=false,</v>
      </c>
      <c r="V22" s="10" t="str">
        <f t="shared" si="1"/>
        <v>LastModifiedDate=null,</v>
      </c>
      <c r="W22" s="10" t="str">
        <f t="shared" si="1"/>
        <v>LastModifiedUserId=null</v>
      </c>
      <c r="X22" s="9" t="str">
        <f t="shared" ca="1" si="2"/>
        <v>Id=215,Title="کردستان",ParentId=1,Guid=Guid.Parse("18A49860-1390-495C-A2C4-39CC53417F9D"),CreatedDate=new DateTime (2026,3,25,4,26,24),CreatedUserId=null,Description= "Created by seeding data",IsActive=true,IsDeleted=false,LastModifiedDate=null,LastModifiedUserId=null</v>
      </c>
      <c r="Y22" s="9" t="str">
        <f t="shared" ca="1" si="3"/>
        <v>new State{Id=215,Title="کردستان",ParentId=1,Guid=Guid.Parse("18A49860-1390-495C-A2C4-39CC53417F9D"),CreatedDate=new DateTime (2026,3,25,4,26,24),CreatedUserId=null,Description= "Created by seeding data",IsActive=true,IsDeleted=false,LastModifiedDate=null,LastModifiedUserId=null},</v>
      </c>
    </row>
    <row r="23" spans="1:25" ht="19.5" x14ac:dyDescent="0.5">
      <c r="A23" s="1" t="str">
        <f t="shared" si="0"/>
        <v>216,</v>
      </c>
      <c r="B23" s="1" t="s">
        <v>423</v>
      </c>
      <c r="C23" s="1" t="s">
        <v>434</v>
      </c>
      <c r="D23" s="1" t="s">
        <v>228</v>
      </c>
      <c r="E23" s="1" t="str">
        <f ca="1">"new DateTime (" &amp; $C$1&amp;"),"</f>
        <v>new DateTime (2026,3,25,4,26,24),</v>
      </c>
      <c r="F23" s="1" t="str">
        <f>"null,"</f>
        <v>null,</v>
      </c>
      <c r="G23" s="1" t="s">
        <v>207</v>
      </c>
      <c r="H23" s="1" t="str">
        <f>"true,"</f>
        <v>true,</v>
      </c>
      <c r="I23" s="1" t="str">
        <f>"false,"</f>
        <v>false,</v>
      </c>
      <c r="J23" s="1" t="str">
        <f>"null,"</f>
        <v>null,</v>
      </c>
      <c r="K23" s="1" t="str">
        <f>"null"</f>
        <v>null</v>
      </c>
      <c r="L23" s="6"/>
      <c r="M23" s="10" t="str">
        <f>_xlfn.TEXTJOIN("=",FALSE,A$2,A23)</f>
        <v>Id=216,</v>
      </c>
      <c r="N23" s="10" t="str">
        <f>_xlfn.TEXTJOIN("=",FALSE,B$2,B23)</f>
        <v>Title="کرمان",</v>
      </c>
      <c r="O23" s="10" t="str">
        <f>_xlfn.TEXTJOIN("=",FALSE,C$2,C23)</f>
        <v>ParentId=1,</v>
      </c>
      <c r="P23" s="10" t="str">
        <f>_xlfn.TEXTJOIN("=",FALSE,D$2,D23)</f>
        <v>Guid=Guid.Parse("D31CF596-A955-403F-B7CA-0EC7DE30634E"),</v>
      </c>
      <c r="Q23" s="10" t="str">
        <f t="shared" ca="1" si="1"/>
        <v>CreatedDate=new DateTime (2026,3,25,4,26,24),</v>
      </c>
      <c r="R23" s="10" t="str">
        <f t="shared" si="1"/>
        <v>CreatedUserId=null,</v>
      </c>
      <c r="S23" s="10" t="str">
        <f t="shared" si="1"/>
        <v>Description= "Created by seeding data",</v>
      </c>
      <c r="T23" s="10" t="str">
        <f t="shared" si="1"/>
        <v>IsActive=true,</v>
      </c>
      <c r="U23" s="10" t="str">
        <f t="shared" si="1"/>
        <v>IsDeleted=false,</v>
      </c>
      <c r="V23" s="10" t="str">
        <f t="shared" si="1"/>
        <v>LastModifiedDate=null,</v>
      </c>
      <c r="W23" s="10" t="str">
        <f t="shared" si="1"/>
        <v>LastModifiedUserId=null</v>
      </c>
      <c r="X23" s="9" t="str">
        <f t="shared" ca="1" si="2"/>
        <v>Id=216,Title="کرمان",ParentId=1,Guid=Guid.Parse("D31CF596-A955-403F-B7CA-0EC7DE30634E"),CreatedDate=new DateTime (2026,3,25,4,26,24),CreatedUserId=null,Description= "Created by seeding data",IsActive=true,IsDeleted=false,LastModifiedDate=null,LastModifiedUserId=null</v>
      </c>
      <c r="Y23" s="9" t="str">
        <f t="shared" ca="1" si="3"/>
        <v>new State{Id=216,Title="کرمان",ParentId=1,Guid=Guid.Parse("D31CF596-A955-403F-B7CA-0EC7DE30634E"),CreatedDate=new DateTime (2026,3,25,4,26,24),CreatedUserId=null,Description= "Created by seeding data",IsActive=true,IsDeleted=false,LastModifiedDate=null,LastModifiedUserId=null},</v>
      </c>
    </row>
    <row r="24" spans="1:25" ht="19.5" x14ac:dyDescent="0.5">
      <c r="A24" s="1" t="str">
        <f t="shared" si="0"/>
        <v>217,</v>
      </c>
      <c r="B24" s="1" t="s">
        <v>424</v>
      </c>
      <c r="C24" s="1" t="s">
        <v>434</v>
      </c>
      <c r="D24" s="1" t="s">
        <v>229</v>
      </c>
      <c r="E24" s="1" t="str">
        <f ca="1">"new DateTime (" &amp; $C$1&amp;"),"</f>
        <v>new DateTime (2026,3,25,4,26,24),</v>
      </c>
      <c r="F24" s="1" t="str">
        <f>"null,"</f>
        <v>null,</v>
      </c>
      <c r="G24" s="1" t="s">
        <v>207</v>
      </c>
      <c r="H24" s="1" t="str">
        <f>"true,"</f>
        <v>true,</v>
      </c>
      <c r="I24" s="1" t="str">
        <f>"false,"</f>
        <v>false,</v>
      </c>
      <c r="J24" s="1" t="str">
        <f>"null,"</f>
        <v>null,</v>
      </c>
      <c r="K24" s="1" t="str">
        <f>"null"</f>
        <v>null</v>
      </c>
      <c r="L24" s="6"/>
      <c r="M24" s="10" t="str">
        <f>_xlfn.TEXTJOIN("=",FALSE,A$2,A24)</f>
        <v>Id=217,</v>
      </c>
      <c r="N24" s="10" t="str">
        <f>_xlfn.TEXTJOIN("=",FALSE,B$2,B24)</f>
        <v>Title="کرمانشاه",</v>
      </c>
      <c r="O24" s="10" t="str">
        <f>_xlfn.TEXTJOIN("=",FALSE,C$2,C24)</f>
        <v>ParentId=1,</v>
      </c>
      <c r="P24" s="10" t="str">
        <f>_xlfn.TEXTJOIN("=",FALSE,D$2,D24)</f>
        <v>Guid=Guid.Parse("8A754871-A975-4A16-95E2-0CAECF02D0B8"),</v>
      </c>
      <c r="Q24" s="10" t="str">
        <f t="shared" ca="1" si="1"/>
        <v>CreatedDate=new DateTime (2026,3,25,4,26,24),</v>
      </c>
      <c r="R24" s="10" t="str">
        <f t="shared" si="1"/>
        <v>CreatedUserId=null,</v>
      </c>
      <c r="S24" s="10" t="str">
        <f t="shared" si="1"/>
        <v>Description= "Created by seeding data",</v>
      </c>
      <c r="T24" s="10" t="str">
        <f t="shared" si="1"/>
        <v>IsActive=true,</v>
      </c>
      <c r="U24" s="10" t="str">
        <f t="shared" si="1"/>
        <v>IsDeleted=false,</v>
      </c>
      <c r="V24" s="10" t="str">
        <f t="shared" si="1"/>
        <v>LastModifiedDate=null,</v>
      </c>
      <c r="W24" s="10" t="str">
        <f t="shared" si="1"/>
        <v>LastModifiedUserId=null</v>
      </c>
      <c r="X24" s="9" t="str">
        <f t="shared" ca="1" si="2"/>
        <v>Id=217,Title="کرمانشاه",ParentId=1,Guid=Guid.Parse("8A754871-A975-4A16-95E2-0CAECF02D0B8"),CreatedDate=new DateTime (2026,3,25,4,26,24),CreatedUserId=null,Description= "Created by seeding data",IsActive=true,IsDeleted=false,LastModifiedDate=null,LastModifiedUserId=null</v>
      </c>
      <c r="Y24" s="9" t="str">
        <f t="shared" ca="1" si="3"/>
        <v>new State{Id=217,Title="کرمانشاه",ParentId=1,Guid=Guid.Parse("8A754871-A975-4A16-95E2-0CAECF02D0B8"),CreatedDate=new DateTime (2026,3,25,4,26,24),CreatedUserId=null,Description= "Created by seeding data",IsActive=true,IsDeleted=false,LastModifiedDate=null,LastModifiedUserId=null},</v>
      </c>
    </row>
    <row r="25" spans="1:25" ht="19.5" x14ac:dyDescent="0.5">
      <c r="A25" s="1" t="str">
        <f t="shared" si="0"/>
        <v>218,</v>
      </c>
      <c r="B25" s="1" t="s">
        <v>425</v>
      </c>
      <c r="C25" s="1" t="s">
        <v>434</v>
      </c>
      <c r="D25" s="1" t="s">
        <v>230</v>
      </c>
      <c r="E25" s="1" t="str">
        <f ca="1">"new DateTime (" &amp; $C$1&amp;"),"</f>
        <v>new DateTime (2026,3,25,4,26,24),</v>
      </c>
      <c r="F25" s="1" t="str">
        <f>"null,"</f>
        <v>null,</v>
      </c>
      <c r="G25" s="1" t="s">
        <v>207</v>
      </c>
      <c r="H25" s="1" t="str">
        <f>"true,"</f>
        <v>true,</v>
      </c>
      <c r="I25" s="1" t="str">
        <f>"false,"</f>
        <v>false,</v>
      </c>
      <c r="J25" s="1" t="str">
        <f>"null,"</f>
        <v>null,</v>
      </c>
      <c r="K25" s="1" t="str">
        <f>"null"</f>
        <v>null</v>
      </c>
      <c r="L25" s="6"/>
      <c r="M25" s="10" t="str">
        <f>_xlfn.TEXTJOIN("=",FALSE,A$2,A25)</f>
        <v>Id=218,</v>
      </c>
      <c r="N25" s="10" t="str">
        <f>_xlfn.TEXTJOIN("=",FALSE,B$2,B25)</f>
        <v>Title="کهگیلویه و بویراحمد",</v>
      </c>
      <c r="O25" s="10" t="str">
        <f>_xlfn.TEXTJOIN("=",FALSE,C$2,C25)</f>
        <v>ParentId=1,</v>
      </c>
      <c r="P25" s="10" t="str">
        <f>_xlfn.TEXTJOIN("=",FALSE,D$2,D25)</f>
        <v>Guid=Guid.Parse("6AF49F3C-AA47-46F6-9627-2250516D5CA0"),</v>
      </c>
      <c r="Q25" s="10" t="str">
        <f t="shared" ca="1" si="1"/>
        <v>CreatedDate=new DateTime (2026,3,25,4,26,24),</v>
      </c>
      <c r="R25" s="10" t="str">
        <f t="shared" si="1"/>
        <v>CreatedUserId=null,</v>
      </c>
      <c r="S25" s="10" t="str">
        <f t="shared" si="1"/>
        <v>Description= "Created by seeding data",</v>
      </c>
      <c r="T25" s="10" t="str">
        <f t="shared" si="1"/>
        <v>IsActive=true,</v>
      </c>
      <c r="U25" s="10" t="str">
        <f t="shared" si="1"/>
        <v>IsDeleted=false,</v>
      </c>
      <c r="V25" s="10" t="str">
        <f t="shared" si="1"/>
        <v>LastModifiedDate=null,</v>
      </c>
      <c r="W25" s="10" t="str">
        <f t="shared" si="1"/>
        <v>LastModifiedUserId=null</v>
      </c>
      <c r="X25" s="9" t="str">
        <f t="shared" ca="1" si="2"/>
        <v>Id=218,Title="کهگیلویه و بویراحمد",ParentId=1,Guid=Guid.Parse("6AF49F3C-AA47-46F6-9627-2250516D5CA0"),CreatedDate=new DateTime (2026,3,25,4,26,24),CreatedUserId=null,Description= "Created by seeding data",IsActive=true,IsDeleted=false,LastModifiedDate=null,LastModifiedUserId=null</v>
      </c>
      <c r="Y25" s="9" t="str">
        <f t="shared" ca="1" si="3"/>
        <v>new State{Id=218,Title="کهگیلویه و بویراحمد",ParentId=1,Guid=Guid.Parse("6AF49F3C-AA47-46F6-9627-2250516D5CA0"),CreatedDate=new DateTime (2026,3,25,4,26,24),CreatedUserId=null,Description= "Created by seeding data",IsActive=true,IsDeleted=false,LastModifiedDate=null,LastModifiedUserId=null},</v>
      </c>
    </row>
    <row r="26" spans="1:25" ht="19.5" x14ac:dyDescent="0.5">
      <c r="A26" s="1" t="str">
        <f t="shared" si="0"/>
        <v>219,</v>
      </c>
      <c r="B26" s="1" t="s">
        <v>426</v>
      </c>
      <c r="C26" s="1" t="s">
        <v>434</v>
      </c>
      <c r="D26" s="1" t="s">
        <v>231</v>
      </c>
      <c r="E26" s="1" t="str">
        <f ca="1">"new DateTime (" &amp; $C$1&amp;"),"</f>
        <v>new DateTime (2026,3,25,4,26,24),</v>
      </c>
      <c r="F26" s="1" t="str">
        <f>"null,"</f>
        <v>null,</v>
      </c>
      <c r="G26" s="1" t="s">
        <v>207</v>
      </c>
      <c r="H26" s="1" t="str">
        <f>"true,"</f>
        <v>true,</v>
      </c>
      <c r="I26" s="1" t="str">
        <f>"false,"</f>
        <v>false,</v>
      </c>
      <c r="J26" s="1" t="str">
        <f>"null,"</f>
        <v>null,</v>
      </c>
      <c r="K26" s="1" t="str">
        <f>"null"</f>
        <v>null</v>
      </c>
      <c r="L26" s="6"/>
      <c r="M26" s="10" t="str">
        <f>_xlfn.TEXTJOIN("=",FALSE,A$2,A26)</f>
        <v>Id=219,</v>
      </c>
      <c r="N26" s="10" t="str">
        <f>_xlfn.TEXTJOIN("=",FALSE,B$2,B26)</f>
        <v>Title="گلستان",</v>
      </c>
      <c r="O26" s="10" t="str">
        <f>_xlfn.TEXTJOIN("=",FALSE,C$2,C26)</f>
        <v>ParentId=1,</v>
      </c>
      <c r="P26" s="10" t="str">
        <f>_xlfn.TEXTJOIN("=",FALSE,D$2,D26)</f>
        <v>Guid=Guid.Parse("7945BEFD-8230-4F05-ADED-FC21B0E63B75"),</v>
      </c>
      <c r="Q26" s="10" t="str">
        <f t="shared" ca="1" si="1"/>
        <v>CreatedDate=new DateTime (2026,3,25,4,26,24),</v>
      </c>
      <c r="R26" s="10" t="str">
        <f t="shared" si="1"/>
        <v>CreatedUserId=null,</v>
      </c>
      <c r="S26" s="10" t="str">
        <f t="shared" si="1"/>
        <v>Description= "Created by seeding data",</v>
      </c>
      <c r="T26" s="10" t="str">
        <f t="shared" si="1"/>
        <v>IsActive=true,</v>
      </c>
      <c r="U26" s="10" t="str">
        <f t="shared" si="1"/>
        <v>IsDeleted=false,</v>
      </c>
      <c r="V26" s="10" t="str">
        <f t="shared" si="1"/>
        <v>LastModifiedDate=null,</v>
      </c>
      <c r="W26" s="10" t="str">
        <f t="shared" si="1"/>
        <v>LastModifiedUserId=null</v>
      </c>
      <c r="X26" s="9" t="str">
        <f t="shared" ca="1" si="2"/>
        <v>Id=219,Title="گلستان",ParentId=1,Guid=Guid.Parse("7945BEFD-8230-4F05-ADED-FC21B0E63B75"),CreatedDate=new DateTime (2026,3,25,4,26,24),CreatedUserId=null,Description= "Created by seeding data",IsActive=true,IsDeleted=false,LastModifiedDate=null,LastModifiedUserId=null</v>
      </c>
      <c r="Y26" s="9" t="str">
        <f t="shared" ca="1" si="3"/>
        <v>new State{Id=219,Title="گلستان",ParentId=1,Guid=Guid.Parse("7945BEFD-8230-4F05-ADED-FC21B0E63B75"),CreatedDate=new DateTime (2026,3,25,4,26,24),CreatedUserId=null,Description= "Created by seeding data",IsActive=true,IsDeleted=false,LastModifiedDate=null,LastModifiedUserId=null},</v>
      </c>
    </row>
    <row r="27" spans="1:25" ht="19.5" x14ac:dyDescent="0.5">
      <c r="A27" s="1" t="str">
        <f t="shared" si="0"/>
        <v>220,</v>
      </c>
      <c r="B27" s="1" t="s">
        <v>427</v>
      </c>
      <c r="C27" s="1" t="s">
        <v>434</v>
      </c>
      <c r="D27" s="1" t="s">
        <v>232</v>
      </c>
      <c r="E27" s="1" t="str">
        <f ca="1">"new DateTime (" &amp; $C$1&amp;"),"</f>
        <v>new DateTime (2026,3,25,4,26,24),</v>
      </c>
      <c r="F27" s="1" t="str">
        <f>"null,"</f>
        <v>null,</v>
      </c>
      <c r="G27" s="1" t="s">
        <v>207</v>
      </c>
      <c r="H27" s="1" t="str">
        <f>"true,"</f>
        <v>true,</v>
      </c>
      <c r="I27" s="1" t="str">
        <f>"false,"</f>
        <v>false,</v>
      </c>
      <c r="J27" s="1" t="str">
        <f>"null,"</f>
        <v>null,</v>
      </c>
      <c r="K27" s="1" t="str">
        <f>"null"</f>
        <v>null</v>
      </c>
      <c r="L27" s="6"/>
      <c r="M27" s="10" t="str">
        <f>_xlfn.TEXTJOIN("=",FALSE,A$2,A27)</f>
        <v>Id=220,</v>
      </c>
      <c r="N27" s="10" t="str">
        <f>_xlfn.TEXTJOIN("=",FALSE,B$2,B27)</f>
        <v>Title="گیلان",</v>
      </c>
      <c r="O27" s="10" t="str">
        <f>_xlfn.TEXTJOIN("=",FALSE,C$2,C27)</f>
        <v>ParentId=1,</v>
      </c>
      <c r="P27" s="10" t="str">
        <f>_xlfn.TEXTJOIN("=",FALSE,D$2,D27)</f>
        <v>Guid=Guid.Parse("03CF2AA2-8AEB-4060-A727-9C9A6C5F57A8"),</v>
      </c>
      <c r="Q27" s="10" t="str">
        <f t="shared" ca="1" si="1"/>
        <v>CreatedDate=new DateTime (2026,3,25,4,26,24),</v>
      </c>
      <c r="R27" s="10" t="str">
        <f t="shared" si="1"/>
        <v>CreatedUserId=null,</v>
      </c>
      <c r="S27" s="10" t="str">
        <f t="shared" si="1"/>
        <v>Description= "Created by seeding data",</v>
      </c>
      <c r="T27" s="10" t="str">
        <f t="shared" si="1"/>
        <v>IsActive=true,</v>
      </c>
      <c r="U27" s="10" t="str">
        <f t="shared" si="1"/>
        <v>IsDeleted=false,</v>
      </c>
      <c r="V27" s="10" t="str">
        <f t="shared" si="1"/>
        <v>LastModifiedDate=null,</v>
      </c>
      <c r="W27" s="10" t="str">
        <f t="shared" si="1"/>
        <v>LastModifiedUserId=null</v>
      </c>
      <c r="X27" s="9" t="str">
        <f t="shared" ca="1" si="2"/>
        <v>Id=220,Title="گیلان",ParentId=1,Guid=Guid.Parse("03CF2AA2-8AEB-4060-A727-9C9A6C5F57A8"),CreatedDate=new DateTime (2026,3,25,4,26,24),CreatedUserId=null,Description= "Created by seeding data",IsActive=true,IsDeleted=false,LastModifiedDate=null,LastModifiedUserId=null</v>
      </c>
      <c r="Y27" s="9" t="str">
        <f t="shared" ca="1" si="3"/>
        <v>new State{Id=220,Title="گیلان",ParentId=1,Guid=Guid.Parse("03CF2AA2-8AEB-4060-A727-9C9A6C5F57A8"),CreatedDate=new DateTime (2026,3,25,4,26,24),CreatedUserId=null,Description= "Created by seeding data",IsActive=true,IsDeleted=false,LastModifiedDate=null,LastModifiedUserId=null},</v>
      </c>
    </row>
    <row r="28" spans="1:25" ht="19.5" x14ac:dyDescent="0.5">
      <c r="A28" s="1" t="str">
        <f t="shared" si="0"/>
        <v>221,</v>
      </c>
      <c r="B28" s="1" t="s">
        <v>428</v>
      </c>
      <c r="C28" s="1" t="s">
        <v>434</v>
      </c>
      <c r="D28" s="1" t="s">
        <v>233</v>
      </c>
      <c r="E28" s="1" t="str">
        <f ca="1">"new DateTime (" &amp; $C$1&amp;"),"</f>
        <v>new DateTime (2026,3,25,4,26,24),</v>
      </c>
      <c r="F28" s="1" t="str">
        <f>"null,"</f>
        <v>null,</v>
      </c>
      <c r="G28" s="1" t="s">
        <v>207</v>
      </c>
      <c r="H28" s="1" t="str">
        <f>"true,"</f>
        <v>true,</v>
      </c>
      <c r="I28" s="1" t="str">
        <f>"false,"</f>
        <v>false,</v>
      </c>
      <c r="J28" s="1" t="str">
        <f>"null,"</f>
        <v>null,</v>
      </c>
      <c r="K28" s="1" t="str">
        <f>"null"</f>
        <v>null</v>
      </c>
      <c r="L28" s="6"/>
      <c r="M28" s="10" t="str">
        <f>_xlfn.TEXTJOIN("=",FALSE,A$2,A28)</f>
        <v>Id=221,</v>
      </c>
      <c r="N28" s="10" t="str">
        <f>_xlfn.TEXTJOIN("=",FALSE,B$2,B28)</f>
        <v>Title="لرستان",</v>
      </c>
      <c r="O28" s="10" t="str">
        <f>_xlfn.TEXTJOIN("=",FALSE,C$2,C28)</f>
        <v>ParentId=1,</v>
      </c>
      <c r="P28" s="10" t="str">
        <f>_xlfn.TEXTJOIN("=",FALSE,D$2,D28)</f>
        <v>Guid=Guid.Parse("FF3E83D7-57A3-487C-99F0-0A7A6973314E"),</v>
      </c>
      <c r="Q28" s="10" t="str">
        <f t="shared" ca="1" si="1"/>
        <v>CreatedDate=new DateTime (2026,3,25,4,26,24),</v>
      </c>
      <c r="R28" s="10" t="str">
        <f t="shared" si="1"/>
        <v>CreatedUserId=null,</v>
      </c>
      <c r="S28" s="10" t="str">
        <f t="shared" si="1"/>
        <v>Description= "Created by seeding data",</v>
      </c>
      <c r="T28" s="10" t="str">
        <f t="shared" si="1"/>
        <v>IsActive=true,</v>
      </c>
      <c r="U28" s="10" t="str">
        <f t="shared" si="1"/>
        <v>IsDeleted=false,</v>
      </c>
      <c r="V28" s="10" t="str">
        <f t="shared" si="1"/>
        <v>LastModifiedDate=null,</v>
      </c>
      <c r="W28" s="10" t="str">
        <f t="shared" si="1"/>
        <v>LastModifiedUserId=null</v>
      </c>
      <c r="X28" s="9" t="str">
        <f t="shared" ca="1" si="2"/>
        <v>Id=221,Title="لرستان",ParentId=1,Guid=Guid.Parse("FF3E83D7-57A3-487C-99F0-0A7A6973314E"),CreatedDate=new DateTime (2026,3,25,4,26,24),CreatedUserId=null,Description= "Created by seeding data",IsActive=true,IsDeleted=false,LastModifiedDate=null,LastModifiedUserId=null</v>
      </c>
      <c r="Y28" s="9" t="str">
        <f t="shared" ca="1" si="3"/>
        <v>new State{Id=221,Title="لرستان",ParentId=1,Guid=Guid.Parse("FF3E83D7-57A3-487C-99F0-0A7A6973314E"),CreatedDate=new DateTime (2026,3,25,4,26,24),CreatedUserId=null,Description= "Created by seeding data",IsActive=true,IsDeleted=false,LastModifiedDate=null,LastModifiedUserId=null},</v>
      </c>
    </row>
    <row r="29" spans="1:25" ht="19.5" x14ac:dyDescent="0.5">
      <c r="A29" s="1" t="str">
        <f t="shared" si="0"/>
        <v>222,</v>
      </c>
      <c r="B29" s="1" t="s">
        <v>429</v>
      </c>
      <c r="C29" s="1" t="s">
        <v>434</v>
      </c>
      <c r="D29" s="1" t="s">
        <v>234</v>
      </c>
      <c r="E29" s="1" t="str">
        <f ca="1">"new DateTime (" &amp; $C$1&amp;"),"</f>
        <v>new DateTime (2026,3,25,4,26,24),</v>
      </c>
      <c r="F29" s="1" t="str">
        <f>"null,"</f>
        <v>null,</v>
      </c>
      <c r="G29" s="1" t="s">
        <v>207</v>
      </c>
      <c r="H29" s="1" t="str">
        <f>"true,"</f>
        <v>true,</v>
      </c>
      <c r="I29" s="1" t="str">
        <f>"false,"</f>
        <v>false,</v>
      </c>
      <c r="J29" s="1" t="str">
        <f>"null,"</f>
        <v>null,</v>
      </c>
      <c r="K29" s="1" t="str">
        <f>"null"</f>
        <v>null</v>
      </c>
      <c r="L29" s="6"/>
      <c r="M29" s="10" t="str">
        <f>_xlfn.TEXTJOIN("=",FALSE,A$2,A29)</f>
        <v>Id=222,</v>
      </c>
      <c r="N29" s="10" t="str">
        <f>_xlfn.TEXTJOIN("=",FALSE,B$2,B29)</f>
        <v>Title="مازندران",</v>
      </c>
      <c r="O29" s="10" t="str">
        <f>_xlfn.TEXTJOIN("=",FALSE,C$2,C29)</f>
        <v>ParentId=1,</v>
      </c>
      <c r="P29" s="10" t="str">
        <f>_xlfn.TEXTJOIN("=",FALSE,D$2,D29)</f>
        <v>Guid=Guid.Parse("AE2ADFAD-3769-48A4-A1DB-D5958D4E9F4F"),</v>
      </c>
      <c r="Q29" s="10" t="str">
        <f t="shared" ca="1" si="1"/>
        <v>CreatedDate=new DateTime (2026,3,25,4,26,24),</v>
      </c>
      <c r="R29" s="10" t="str">
        <f t="shared" si="1"/>
        <v>CreatedUserId=null,</v>
      </c>
      <c r="S29" s="10" t="str">
        <f t="shared" si="1"/>
        <v>Description= "Created by seeding data",</v>
      </c>
      <c r="T29" s="10" t="str">
        <f t="shared" si="1"/>
        <v>IsActive=true,</v>
      </c>
      <c r="U29" s="10" t="str">
        <f t="shared" si="1"/>
        <v>IsDeleted=false,</v>
      </c>
      <c r="V29" s="10" t="str">
        <f t="shared" si="1"/>
        <v>LastModifiedDate=null,</v>
      </c>
      <c r="W29" s="10" t="str">
        <f t="shared" si="1"/>
        <v>LastModifiedUserId=null</v>
      </c>
      <c r="X29" s="9" t="str">
        <f t="shared" ca="1" si="2"/>
        <v>Id=222,Title="مازندران",ParentId=1,Guid=Guid.Parse("AE2ADFAD-3769-48A4-A1DB-D5958D4E9F4F"),CreatedDate=new DateTime (2026,3,25,4,26,24),CreatedUserId=null,Description= "Created by seeding data",IsActive=true,IsDeleted=false,LastModifiedDate=null,LastModifiedUserId=null</v>
      </c>
      <c r="Y29" s="9" t="str">
        <f t="shared" ca="1" si="3"/>
        <v>new State{Id=222,Title="مازندران",ParentId=1,Guid=Guid.Parse("AE2ADFAD-3769-48A4-A1DB-D5958D4E9F4F"),CreatedDate=new DateTime (2026,3,25,4,26,24),CreatedUserId=null,Description= "Created by seeding data",IsActive=true,IsDeleted=false,LastModifiedDate=null,LastModifiedUserId=null},</v>
      </c>
    </row>
    <row r="30" spans="1:25" ht="19.5" x14ac:dyDescent="0.5">
      <c r="A30" s="1" t="str">
        <f t="shared" si="0"/>
        <v>223,</v>
      </c>
      <c r="B30" s="1" t="s">
        <v>430</v>
      </c>
      <c r="C30" s="1" t="s">
        <v>434</v>
      </c>
      <c r="D30" s="1" t="s">
        <v>235</v>
      </c>
      <c r="E30" s="1" t="str">
        <f ca="1">"new DateTime (" &amp; $C$1&amp;"),"</f>
        <v>new DateTime (2026,3,25,4,26,24),</v>
      </c>
      <c r="F30" s="1" t="str">
        <f>"null,"</f>
        <v>null,</v>
      </c>
      <c r="G30" s="1" t="s">
        <v>207</v>
      </c>
      <c r="H30" s="1" t="str">
        <f>"true,"</f>
        <v>true,</v>
      </c>
      <c r="I30" s="1" t="str">
        <f>"false,"</f>
        <v>false,</v>
      </c>
      <c r="J30" s="1" t="str">
        <f>"null,"</f>
        <v>null,</v>
      </c>
      <c r="K30" s="1" t="str">
        <f>"null"</f>
        <v>null</v>
      </c>
      <c r="L30" s="6"/>
      <c r="M30" s="10" t="str">
        <f>_xlfn.TEXTJOIN("=",FALSE,A$2,A30)</f>
        <v>Id=223,</v>
      </c>
      <c r="N30" s="10" t="str">
        <f>_xlfn.TEXTJOIN("=",FALSE,B$2,B30)</f>
        <v>Title="مرکزی",</v>
      </c>
      <c r="O30" s="10" t="str">
        <f>_xlfn.TEXTJOIN("=",FALSE,C$2,C30)</f>
        <v>ParentId=1,</v>
      </c>
      <c r="P30" s="10" t="str">
        <f>_xlfn.TEXTJOIN("=",FALSE,D$2,D30)</f>
        <v>Guid=Guid.Parse("19098DDE-03CF-43D9-8E55-906850BA015E"),</v>
      </c>
      <c r="Q30" s="10" t="str">
        <f t="shared" ca="1" si="1"/>
        <v>CreatedDate=new DateTime (2026,3,25,4,26,24),</v>
      </c>
      <c r="R30" s="10" t="str">
        <f t="shared" si="1"/>
        <v>CreatedUserId=null,</v>
      </c>
      <c r="S30" s="10" t="str">
        <f t="shared" si="1"/>
        <v>Description= "Created by seeding data",</v>
      </c>
      <c r="T30" s="10" t="str">
        <f t="shared" si="1"/>
        <v>IsActive=true,</v>
      </c>
      <c r="U30" s="10" t="str">
        <f t="shared" si="1"/>
        <v>IsDeleted=false,</v>
      </c>
      <c r="V30" s="10" t="str">
        <f t="shared" si="1"/>
        <v>LastModifiedDate=null,</v>
      </c>
      <c r="W30" s="10" t="str">
        <f t="shared" si="1"/>
        <v>LastModifiedUserId=null</v>
      </c>
      <c r="X30" s="9" t="str">
        <f t="shared" ca="1" si="2"/>
        <v>Id=223,Title="مرکزی",ParentId=1,Guid=Guid.Parse("19098DDE-03CF-43D9-8E55-906850BA015E"),CreatedDate=new DateTime (2026,3,25,4,26,24),CreatedUserId=null,Description= "Created by seeding data",IsActive=true,IsDeleted=false,LastModifiedDate=null,LastModifiedUserId=null</v>
      </c>
      <c r="Y30" s="9" t="str">
        <f t="shared" ca="1" si="3"/>
        <v>new State{Id=223,Title="مرکزی",ParentId=1,Guid=Guid.Parse("19098DDE-03CF-43D9-8E55-906850BA015E"),CreatedDate=new DateTime (2026,3,25,4,26,24),CreatedUserId=null,Description= "Created by seeding data",IsActive=true,IsDeleted=false,LastModifiedDate=null,LastModifiedUserId=null},</v>
      </c>
    </row>
    <row r="31" spans="1:25" ht="19.5" x14ac:dyDescent="0.5">
      <c r="A31" s="1" t="str">
        <f t="shared" si="0"/>
        <v>224,</v>
      </c>
      <c r="B31" s="1" t="s">
        <v>431</v>
      </c>
      <c r="C31" s="1" t="s">
        <v>434</v>
      </c>
      <c r="D31" s="1" t="s">
        <v>236</v>
      </c>
      <c r="E31" s="1" t="str">
        <f ca="1">"new DateTime (" &amp; $C$1&amp;"),"</f>
        <v>new DateTime (2026,3,25,4,26,24),</v>
      </c>
      <c r="F31" s="1" t="str">
        <f>"null,"</f>
        <v>null,</v>
      </c>
      <c r="G31" s="1" t="s">
        <v>207</v>
      </c>
      <c r="H31" s="1" t="str">
        <f>"true,"</f>
        <v>true,</v>
      </c>
      <c r="I31" s="1" t="str">
        <f>"false,"</f>
        <v>false,</v>
      </c>
      <c r="J31" s="1" t="str">
        <f>"null,"</f>
        <v>null,</v>
      </c>
      <c r="K31" s="1" t="str">
        <f>"null"</f>
        <v>null</v>
      </c>
      <c r="L31" s="6"/>
      <c r="M31" s="10" t="str">
        <f>_xlfn.TEXTJOIN("=",FALSE,A$2,A31)</f>
        <v>Id=224,</v>
      </c>
      <c r="N31" s="10" t="str">
        <f>_xlfn.TEXTJOIN("=",FALSE,B$2,B31)</f>
        <v>Title="هرمزگان",</v>
      </c>
      <c r="O31" s="10" t="str">
        <f>_xlfn.TEXTJOIN("=",FALSE,C$2,C31)</f>
        <v>ParentId=1,</v>
      </c>
      <c r="P31" s="10" t="str">
        <f>_xlfn.TEXTJOIN("=",FALSE,D$2,D31)</f>
        <v>Guid=Guid.Parse("49B760D0-493A-4125-8465-7F40DFE21604"),</v>
      </c>
      <c r="Q31" s="10" t="str">
        <f t="shared" ca="1" si="1"/>
        <v>CreatedDate=new DateTime (2026,3,25,4,26,24),</v>
      </c>
      <c r="R31" s="10" t="str">
        <f t="shared" si="1"/>
        <v>CreatedUserId=null,</v>
      </c>
      <c r="S31" s="10" t="str">
        <f t="shared" si="1"/>
        <v>Description= "Created by seeding data",</v>
      </c>
      <c r="T31" s="10" t="str">
        <f t="shared" si="1"/>
        <v>IsActive=true,</v>
      </c>
      <c r="U31" s="10" t="str">
        <f t="shared" si="1"/>
        <v>IsDeleted=false,</v>
      </c>
      <c r="V31" s="10" t="str">
        <f t="shared" si="1"/>
        <v>LastModifiedDate=null,</v>
      </c>
      <c r="W31" s="10" t="str">
        <f t="shared" si="1"/>
        <v>LastModifiedUserId=null</v>
      </c>
      <c r="X31" s="9" t="str">
        <f t="shared" ca="1" si="2"/>
        <v>Id=224,Title="هرمزگان",ParentId=1,Guid=Guid.Parse("49B760D0-493A-4125-8465-7F40DFE21604"),CreatedDate=new DateTime (2026,3,25,4,26,24),CreatedUserId=null,Description= "Created by seeding data",IsActive=true,IsDeleted=false,LastModifiedDate=null,LastModifiedUserId=null</v>
      </c>
      <c r="Y31" s="9" t="str">
        <f t="shared" ca="1" si="3"/>
        <v>new State{Id=224,Title="هرمزگان",ParentId=1,Guid=Guid.Parse("49B760D0-493A-4125-8465-7F40DFE21604"),CreatedDate=new DateTime (2026,3,25,4,26,24),CreatedUserId=null,Description= "Created by seeding data",IsActive=true,IsDeleted=false,LastModifiedDate=null,LastModifiedUserId=null},</v>
      </c>
    </row>
    <row r="32" spans="1:25" ht="19.5" x14ac:dyDescent="0.5">
      <c r="A32" s="1" t="str">
        <f t="shared" si="0"/>
        <v>225,</v>
      </c>
      <c r="B32" s="1" t="s">
        <v>432</v>
      </c>
      <c r="C32" s="1" t="s">
        <v>434</v>
      </c>
      <c r="D32" s="1" t="s">
        <v>237</v>
      </c>
      <c r="E32" s="1" t="str">
        <f ca="1">"new DateTime (" &amp; $C$1&amp;"),"</f>
        <v>new DateTime (2026,3,25,4,26,24),</v>
      </c>
      <c r="F32" s="1" t="str">
        <f>"null,"</f>
        <v>null,</v>
      </c>
      <c r="G32" s="1" t="s">
        <v>207</v>
      </c>
      <c r="H32" s="1" t="str">
        <f>"true,"</f>
        <v>true,</v>
      </c>
      <c r="I32" s="1" t="str">
        <f>"false,"</f>
        <v>false,</v>
      </c>
      <c r="J32" s="1" t="str">
        <f>"null,"</f>
        <v>null,</v>
      </c>
      <c r="K32" s="1" t="str">
        <f>"null"</f>
        <v>null</v>
      </c>
      <c r="L32" s="6"/>
      <c r="M32" s="10" t="str">
        <f>_xlfn.TEXTJOIN("=",FALSE,A$2,A32)</f>
        <v>Id=225,</v>
      </c>
      <c r="N32" s="10" t="str">
        <f>_xlfn.TEXTJOIN("=",FALSE,B$2,B32)</f>
        <v>Title="همدان",</v>
      </c>
      <c r="O32" s="10" t="str">
        <f>_xlfn.TEXTJOIN("=",FALSE,C$2,C32)</f>
        <v>ParentId=1,</v>
      </c>
      <c r="P32" s="10" t="str">
        <f>_xlfn.TEXTJOIN("=",FALSE,D$2,D32)</f>
        <v>Guid=Guid.Parse("C5B15FCA-A561-4CA9-B7B1-AC0CB0AA5660"),</v>
      </c>
      <c r="Q32" s="10" t="str">
        <f t="shared" ca="1" si="1"/>
        <v>CreatedDate=new DateTime (2026,3,25,4,26,24),</v>
      </c>
      <c r="R32" s="10" t="str">
        <f t="shared" si="1"/>
        <v>CreatedUserId=null,</v>
      </c>
      <c r="S32" s="10" t="str">
        <f t="shared" si="1"/>
        <v>Description= "Created by seeding data",</v>
      </c>
      <c r="T32" s="10" t="str">
        <f t="shared" si="1"/>
        <v>IsActive=true,</v>
      </c>
      <c r="U32" s="10" t="str">
        <f t="shared" si="1"/>
        <v>IsDeleted=false,</v>
      </c>
      <c r="V32" s="10" t="str">
        <f t="shared" si="1"/>
        <v>LastModifiedDate=null,</v>
      </c>
      <c r="W32" s="10" t="str">
        <f t="shared" si="1"/>
        <v>LastModifiedUserId=null</v>
      </c>
      <c r="X32" s="9" t="str">
        <f t="shared" ca="1" si="2"/>
        <v>Id=225,Title="همدان",ParentId=1,Guid=Guid.Parse("C5B15FCA-A561-4CA9-B7B1-AC0CB0AA5660"),CreatedDate=new DateTime (2026,3,25,4,26,24),CreatedUserId=null,Description= "Created by seeding data",IsActive=true,IsDeleted=false,LastModifiedDate=null,LastModifiedUserId=null</v>
      </c>
      <c r="Y32" s="9" t="str">
        <f t="shared" ca="1" si="3"/>
        <v>new State{Id=225,Title="همدان",ParentId=1,Guid=Guid.Parse("C5B15FCA-A561-4CA9-B7B1-AC0CB0AA5660"),CreatedDate=new DateTime (2026,3,25,4,26,24),CreatedUserId=null,Description= "Created by seeding data",IsActive=true,IsDeleted=false,LastModifiedDate=null,LastModifiedUserId=null},</v>
      </c>
    </row>
    <row r="33" spans="1:25" ht="19.5" x14ac:dyDescent="0.5">
      <c r="A33" s="1" t="str">
        <f t="shared" si="0"/>
        <v>226,</v>
      </c>
      <c r="B33" s="1" t="s">
        <v>433</v>
      </c>
      <c r="C33" s="1" t="s">
        <v>434</v>
      </c>
      <c r="D33" s="1" t="s">
        <v>238</v>
      </c>
      <c r="E33" s="1" t="str">
        <f ca="1">"new DateTime (" &amp; $C$1&amp;"),"</f>
        <v>new DateTime (2026,3,25,4,26,24),</v>
      </c>
      <c r="F33" s="1" t="str">
        <f>"null,"</f>
        <v>null,</v>
      </c>
      <c r="G33" s="1" t="s">
        <v>207</v>
      </c>
      <c r="H33" s="1" t="str">
        <f>"true,"</f>
        <v>true,</v>
      </c>
      <c r="I33" s="1" t="str">
        <f>"false,"</f>
        <v>false,</v>
      </c>
      <c r="J33" s="1" t="str">
        <f>"null,"</f>
        <v>null,</v>
      </c>
      <c r="K33" s="1" t="str">
        <f>"null"</f>
        <v>null</v>
      </c>
      <c r="L33" s="6"/>
      <c r="M33" s="10" t="str">
        <f>_xlfn.TEXTJOIN("=",FALSE,A$2,A33)</f>
        <v>Id=226,</v>
      </c>
      <c r="N33" s="10" t="str">
        <f>_xlfn.TEXTJOIN("=",FALSE,B$2,B33)</f>
        <v>Title="یزد",</v>
      </c>
      <c r="O33" s="10" t="str">
        <f>_xlfn.TEXTJOIN("=",FALSE,C$2,C33)</f>
        <v>ParentId=1,</v>
      </c>
      <c r="P33" s="10" t="str">
        <f>_xlfn.TEXTJOIN("=",FALSE,D$2,D33)</f>
        <v>Guid=Guid.Parse("06193B94-C92E-4C2F-9DF1-4D1A0B48DE1B"),</v>
      </c>
      <c r="Q33" s="10" t="str">
        <f t="shared" ca="1" si="1"/>
        <v>CreatedDate=new DateTime (2026,3,25,4,26,24),</v>
      </c>
      <c r="R33" s="10" t="str">
        <f t="shared" si="1"/>
        <v>CreatedUserId=null,</v>
      </c>
      <c r="S33" s="10" t="str">
        <f t="shared" si="1"/>
        <v>Description= "Created by seeding data",</v>
      </c>
      <c r="T33" s="10" t="str">
        <f t="shared" si="1"/>
        <v>IsActive=true,</v>
      </c>
      <c r="U33" s="10" t="str">
        <f t="shared" si="1"/>
        <v>IsDeleted=false,</v>
      </c>
      <c r="V33" s="10" t="str">
        <f t="shared" si="1"/>
        <v>LastModifiedDate=null,</v>
      </c>
      <c r="W33" s="10" t="str">
        <f t="shared" si="1"/>
        <v>LastModifiedUserId=null</v>
      </c>
      <c r="X33" s="9" t="str">
        <f t="shared" ca="1" si="2"/>
        <v>Id=226,Title="یزد",ParentId=1,Guid=Guid.Parse("06193B94-C92E-4C2F-9DF1-4D1A0B48DE1B"),CreatedDate=new DateTime (2026,3,25,4,26,24),CreatedUserId=null,Description= "Created by seeding data",IsActive=true,IsDeleted=false,LastModifiedDate=null,LastModifiedUserId=null</v>
      </c>
      <c r="Y33" s="9" t="str">
        <f t="shared" ca="1" si="3"/>
        <v>new State{Id=226,Title="یزد",ParentId=1,Guid=Guid.Parse("06193B94-C92E-4C2F-9DF1-4D1A0B48DE1B"),CreatedDate=new DateTime (2026,3,25,4,26,24),CreatedUserId=null,Description= "Created by seeding data",IsActive=true,IsDeleted=false,LastModifiedDate=null,LastModifiedUserId=null},</v>
      </c>
    </row>
    <row r="34" spans="1:25" ht="19.5" x14ac:dyDescent="0.5">
      <c r="A34" s="1" t="str">
        <f t="shared" si="0"/>
        <v>227,</v>
      </c>
      <c r="B34" s="1" t="s">
        <v>435</v>
      </c>
      <c r="C34" s="1" t="s">
        <v>449</v>
      </c>
      <c r="D34" s="1" t="s">
        <v>239</v>
      </c>
      <c r="E34" s="1" t="str">
        <f ca="1">"new DateTime (" &amp; $C$1&amp;"),"</f>
        <v>new DateTime (2026,3,25,4,26,24),</v>
      </c>
      <c r="F34" s="1" t="str">
        <f>"null,"</f>
        <v>null,</v>
      </c>
      <c r="G34" s="1" t="s">
        <v>207</v>
      </c>
      <c r="H34" s="1" t="str">
        <f>"true,"</f>
        <v>true,</v>
      </c>
      <c r="I34" s="1" t="str">
        <f>"false,"</f>
        <v>false,</v>
      </c>
      <c r="J34" s="1" t="str">
        <f>"null,"</f>
        <v>null,</v>
      </c>
      <c r="K34" s="1" t="str">
        <f>"null"</f>
        <v>null</v>
      </c>
      <c r="L34" s="6"/>
      <c r="M34" s="10" t="str">
        <f>_xlfn.TEXTJOIN("=",FALSE,A$2,A34)</f>
        <v>Id=227,</v>
      </c>
      <c r="N34" s="10" t="str">
        <f>_xlfn.TEXTJOIN("=",FALSE,B$2,B34)</f>
        <v>Title="اوهایو",</v>
      </c>
      <c r="O34" s="10" t="str">
        <f>_xlfn.TEXTJOIN("=",FALSE,C$2,C34)</f>
        <v>ParentId=24,</v>
      </c>
      <c r="P34" s="10" t="str">
        <f>_xlfn.TEXTJOIN("=",FALSE,D$2,D34)</f>
        <v>Guid=Guid.Parse("37DFD360-F35E-4627-9FDD-CF1612C09706"),</v>
      </c>
      <c r="Q34" s="10" t="str">
        <f t="shared" ca="1" si="1"/>
        <v>CreatedDate=new DateTime (2026,3,25,4,26,24),</v>
      </c>
      <c r="R34" s="10" t="str">
        <f t="shared" si="1"/>
        <v>CreatedUserId=null,</v>
      </c>
      <c r="S34" s="10" t="str">
        <f t="shared" si="1"/>
        <v>Description= "Created by seeding data",</v>
      </c>
      <c r="T34" s="10" t="str">
        <f t="shared" si="1"/>
        <v>IsActive=true,</v>
      </c>
      <c r="U34" s="10" t="str">
        <f t="shared" si="1"/>
        <v>IsDeleted=false,</v>
      </c>
      <c r="V34" s="10" t="str">
        <f t="shared" si="1"/>
        <v>LastModifiedDate=null,</v>
      </c>
      <c r="W34" s="10" t="str">
        <f t="shared" si="1"/>
        <v>LastModifiedUserId=null</v>
      </c>
      <c r="X34" s="9" t="str">
        <f t="shared" ca="1" si="2"/>
        <v>Id=227,Title="اوهایو",ParentId=24,Guid=Guid.Parse("37DFD360-F35E-4627-9FDD-CF1612C09706"),CreatedDate=new DateTime (2026,3,25,4,26,24),CreatedUserId=null,Description= "Created by seeding data",IsActive=true,IsDeleted=false,LastModifiedDate=null,LastModifiedUserId=null</v>
      </c>
      <c r="Y34" s="9" t="str">
        <f t="shared" ca="1" si="3"/>
        <v>new State{Id=227,Title="اوهایو",ParentId=24,Guid=Guid.Parse("37DFD360-F35E-4627-9FDD-CF1612C09706"),CreatedDate=new DateTime (2026,3,25,4,26,24),CreatedUserId=null,Description= "Created by seeding data",IsActive=true,IsDeleted=false,LastModifiedDate=null,LastModifiedUserId=null},</v>
      </c>
    </row>
    <row r="35" spans="1:25" ht="19.5" x14ac:dyDescent="0.5">
      <c r="A35" s="1" t="str">
        <f t="shared" si="0"/>
        <v>228,</v>
      </c>
      <c r="B35" s="1" t="s">
        <v>436</v>
      </c>
      <c r="C35" s="1" t="s">
        <v>449</v>
      </c>
      <c r="D35" s="1" t="s">
        <v>240</v>
      </c>
      <c r="E35" s="1" t="str">
        <f ca="1">"new DateTime (" &amp; $C$1&amp;"),"</f>
        <v>new DateTime (2026,3,25,4,26,24),</v>
      </c>
      <c r="F35" s="1" t="str">
        <f>"null,"</f>
        <v>null,</v>
      </c>
      <c r="G35" s="1" t="s">
        <v>207</v>
      </c>
      <c r="H35" s="1" t="str">
        <f>"true,"</f>
        <v>true,</v>
      </c>
      <c r="I35" s="1" t="str">
        <f>"false,"</f>
        <v>false,</v>
      </c>
      <c r="J35" s="1" t="str">
        <f>"null,"</f>
        <v>null,</v>
      </c>
      <c r="K35" s="1" t="str">
        <f>"null"</f>
        <v>null</v>
      </c>
      <c r="L35" s="6"/>
      <c r="M35" s="10" t="str">
        <f>_xlfn.TEXTJOIN("=",FALSE,A$2,A35)</f>
        <v>Id=228,</v>
      </c>
      <c r="N35" s="10" t="str">
        <f>_xlfn.TEXTJOIN("=",FALSE,B$2,B35)</f>
        <v>Title="ایلینوی",</v>
      </c>
      <c r="O35" s="10" t="str">
        <f>_xlfn.TEXTJOIN("=",FALSE,C$2,C35)</f>
        <v>ParentId=24,</v>
      </c>
      <c r="P35" s="10" t="str">
        <f>_xlfn.TEXTJOIN("=",FALSE,D$2,D35)</f>
        <v>Guid=Guid.Parse("D6C658A9-3618-4F63-B36F-B908176E3A3E"),</v>
      </c>
      <c r="Q35" s="10" t="str">
        <f t="shared" ca="1" si="1"/>
        <v>CreatedDate=new DateTime (2026,3,25,4,26,24),</v>
      </c>
      <c r="R35" s="10" t="str">
        <f t="shared" si="1"/>
        <v>CreatedUserId=null,</v>
      </c>
      <c r="S35" s="10" t="str">
        <f t="shared" si="1"/>
        <v>Description= "Created by seeding data",</v>
      </c>
      <c r="T35" s="10" t="str">
        <f t="shared" si="1"/>
        <v>IsActive=true,</v>
      </c>
      <c r="U35" s="10" t="str">
        <f t="shared" si="1"/>
        <v>IsDeleted=false,</v>
      </c>
      <c r="V35" s="10" t="str">
        <f t="shared" si="1"/>
        <v>LastModifiedDate=null,</v>
      </c>
      <c r="W35" s="10" t="str">
        <f t="shared" si="1"/>
        <v>LastModifiedUserId=null</v>
      </c>
      <c r="X35" s="9" t="str">
        <f t="shared" ca="1" si="2"/>
        <v>Id=228,Title="ایلینوی",ParentId=24,Guid=Guid.Parse("D6C658A9-3618-4F63-B36F-B908176E3A3E"),CreatedDate=new DateTime (2026,3,25,4,26,24),CreatedUserId=null,Description= "Created by seeding data",IsActive=true,IsDeleted=false,LastModifiedDate=null,LastModifiedUserId=null</v>
      </c>
      <c r="Y35" s="9" t="str">
        <f t="shared" ca="1" si="3"/>
        <v>new State{Id=228,Title="ایلینوی",ParentId=24,Guid=Guid.Parse("D6C658A9-3618-4F63-B36F-B908176E3A3E"),CreatedDate=new DateTime (2026,3,25,4,26,24),CreatedUserId=null,Description= "Created by seeding data",IsActive=true,IsDeleted=false,LastModifiedDate=null,LastModifiedUserId=null},</v>
      </c>
    </row>
    <row r="36" spans="1:25" ht="19.5" x14ac:dyDescent="0.5">
      <c r="A36" s="1" t="str">
        <f t="shared" si="0"/>
        <v>229,</v>
      </c>
      <c r="B36" s="1" t="s">
        <v>437</v>
      </c>
      <c r="C36" s="1" t="s">
        <v>449</v>
      </c>
      <c r="D36" s="1" t="s">
        <v>241</v>
      </c>
      <c r="E36" s="1" t="str">
        <f ca="1">"new DateTime (" &amp; $C$1&amp;"),"</f>
        <v>new DateTime (2026,3,25,4,26,24),</v>
      </c>
      <c r="F36" s="1" t="str">
        <f>"null,"</f>
        <v>null,</v>
      </c>
      <c r="G36" s="1" t="s">
        <v>207</v>
      </c>
      <c r="H36" s="1" t="str">
        <f>"true,"</f>
        <v>true,</v>
      </c>
      <c r="I36" s="1" t="str">
        <f>"false,"</f>
        <v>false,</v>
      </c>
      <c r="J36" s="1" t="str">
        <f>"null,"</f>
        <v>null,</v>
      </c>
      <c r="K36" s="1" t="str">
        <f>"null"</f>
        <v>null</v>
      </c>
      <c r="L36" s="6"/>
      <c r="M36" s="10" t="str">
        <f>_xlfn.TEXTJOIN("=",FALSE,A$2,A36)</f>
        <v>Id=229,</v>
      </c>
      <c r="N36" s="10" t="str">
        <f>_xlfn.TEXTJOIN("=",FALSE,B$2,B36)</f>
        <v>Title="آریزونا",</v>
      </c>
      <c r="O36" s="10" t="str">
        <f>_xlfn.TEXTJOIN("=",FALSE,C$2,C36)</f>
        <v>ParentId=24,</v>
      </c>
      <c r="P36" s="10" t="str">
        <f>_xlfn.TEXTJOIN("=",FALSE,D$2,D36)</f>
        <v>Guid=Guid.Parse("0F04C3C7-F366-4202-9D16-4461D4744750"),</v>
      </c>
      <c r="Q36" s="10" t="str">
        <f t="shared" ca="1" si="1"/>
        <v>CreatedDate=new DateTime (2026,3,25,4,26,24),</v>
      </c>
      <c r="R36" s="10" t="str">
        <f t="shared" si="1"/>
        <v>CreatedUserId=null,</v>
      </c>
      <c r="S36" s="10" t="str">
        <f t="shared" si="1"/>
        <v>Description= "Created by seeding data",</v>
      </c>
      <c r="T36" s="10" t="str">
        <f t="shared" si="1"/>
        <v>IsActive=true,</v>
      </c>
      <c r="U36" s="10" t="str">
        <f t="shared" si="1"/>
        <v>IsDeleted=false,</v>
      </c>
      <c r="V36" s="10" t="str">
        <f t="shared" si="1"/>
        <v>LastModifiedDate=null,</v>
      </c>
      <c r="W36" s="10" t="str">
        <f t="shared" si="1"/>
        <v>LastModifiedUserId=null</v>
      </c>
      <c r="X36" s="9" t="str">
        <f t="shared" ca="1" si="2"/>
        <v>Id=229,Title="آریزونا",ParentId=24,Guid=Guid.Parse("0F04C3C7-F366-4202-9D16-4461D4744750"),CreatedDate=new DateTime (2026,3,25,4,26,24),CreatedUserId=null,Description= "Created by seeding data",IsActive=true,IsDeleted=false,LastModifiedDate=null,LastModifiedUserId=null</v>
      </c>
      <c r="Y36" s="9" t="str">
        <f t="shared" ca="1" si="3"/>
        <v>new State{Id=229,Title="آریزونا",ParentId=24,Guid=Guid.Parse("0F04C3C7-F366-4202-9D16-4461D4744750"),CreatedDate=new DateTime (2026,3,25,4,26,24),CreatedUserId=null,Description= "Created by seeding data",IsActive=true,IsDeleted=false,LastModifiedDate=null,LastModifiedUserId=null},</v>
      </c>
    </row>
    <row r="37" spans="1:25" ht="19.5" x14ac:dyDescent="0.5">
      <c r="A37" s="1" t="str">
        <f t="shared" si="0"/>
        <v>230,</v>
      </c>
      <c r="B37" s="1" t="s">
        <v>438</v>
      </c>
      <c r="C37" s="1" t="s">
        <v>449</v>
      </c>
      <c r="D37" s="1" t="s">
        <v>242</v>
      </c>
      <c r="E37" s="1" t="str">
        <f ca="1">"new DateTime (" &amp; $C$1&amp;"),"</f>
        <v>new DateTime (2026,3,25,4,26,24),</v>
      </c>
      <c r="F37" s="1" t="str">
        <f>"null,"</f>
        <v>null,</v>
      </c>
      <c r="G37" s="1" t="s">
        <v>207</v>
      </c>
      <c r="H37" s="1" t="str">
        <f>"true,"</f>
        <v>true,</v>
      </c>
      <c r="I37" s="1" t="str">
        <f>"false,"</f>
        <v>false,</v>
      </c>
      <c r="J37" s="1" t="str">
        <f>"null,"</f>
        <v>null,</v>
      </c>
      <c r="K37" s="1" t="str">
        <f>"null"</f>
        <v>null</v>
      </c>
      <c r="L37" s="6"/>
      <c r="M37" s="10" t="str">
        <f>_xlfn.TEXTJOIN("=",FALSE,A$2,A37)</f>
        <v>Id=230,</v>
      </c>
      <c r="N37" s="10" t="str">
        <f>_xlfn.TEXTJOIN("=",FALSE,B$2,B37)</f>
        <v>Title="پنسیلوانیا",</v>
      </c>
      <c r="O37" s="10" t="str">
        <f>_xlfn.TEXTJOIN("=",FALSE,C$2,C37)</f>
        <v>ParentId=24,</v>
      </c>
      <c r="P37" s="10" t="str">
        <f>_xlfn.TEXTJOIN("=",FALSE,D$2,D37)</f>
        <v>Guid=Guid.Parse("1793565D-79BA-45E7-B329-BD3F210A03D5"),</v>
      </c>
      <c r="Q37" s="10" t="str">
        <f t="shared" ca="1" si="1"/>
        <v>CreatedDate=new DateTime (2026,3,25,4,26,24),</v>
      </c>
      <c r="R37" s="10" t="str">
        <f t="shared" si="1"/>
        <v>CreatedUserId=null,</v>
      </c>
      <c r="S37" s="10" t="str">
        <f t="shared" si="1"/>
        <v>Description= "Created by seeding data",</v>
      </c>
      <c r="T37" s="10" t="str">
        <f t="shared" si="1"/>
        <v>IsActive=true,</v>
      </c>
      <c r="U37" s="10" t="str">
        <f t="shared" si="1"/>
        <v>IsDeleted=false,</v>
      </c>
      <c r="V37" s="10" t="str">
        <f t="shared" si="1"/>
        <v>LastModifiedDate=null,</v>
      </c>
      <c r="W37" s="10" t="str">
        <f t="shared" si="1"/>
        <v>LastModifiedUserId=null</v>
      </c>
      <c r="X37" s="9" t="str">
        <f t="shared" ca="1" si="2"/>
        <v>Id=230,Title="پنسیلوانیا",ParentId=24,Guid=Guid.Parse("1793565D-79BA-45E7-B329-BD3F210A03D5"),CreatedDate=new DateTime (2026,3,25,4,26,24),CreatedUserId=null,Description= "Created by seeding data",IsActive=true,IsDeleted=false,LastModifiedDate=null,LastModifiedUserId=null</v>
      </c>
      <c r="Y37" s="9" t="str">
        <f t="shared" ca="1" si="3"/>
        <v>new State{Id=230,Title="پنسیلوانیا",ParentId=24,Guid=Guid.Parse("1793565D-79BA-45E7-B329-BD3F210A03D5"),CreatedDate=new DateTime (2026,3,25,4,26,24),CreatedUserId=null,Description= "Created by seeding data",IsActive=true,IsDeleted=false,LastModifiedDate=null,LastModifiedUserId=null},</v>
      </c>
    </row>
    <row r="38" spans="1:25" ht="19.5" x14ac:dyDescent="0.5">
      <c r="A38" s="1" t="str">
        <f t="shared" si="0"/>
        <v>231,</v>
      </c>
      <c r="B38" s="1" t="s">
        <v>439</v>
      </c>
      <c r="C38" s="1" t="s">
        <v>449</v>
      </c>
      <c r="D38" s="1" t="s">
        <v>243</v>
      </c>
      <c r="E38" s="1" t="str">
        <f ca="1">"new DateTime (" &amp; $C$1&amp;"),"</f>
        <v>new DateTime (2026,3,25,4,26,24),</v>
      </c>
      <c r="F38" s="1" t="str">
        <f>"null,"</f>
        <v>null,</v>
      </c>
      <c r="G38" s="1" t="s">
        <v>207</v>
      </c>
      <c r="H38" s="1" t="str">
        <f>"true,"</f>
        <v>true,</v>
      </c>
      <c r="I38" s="1" t="str">
        <f>"false,"</f>
        <v>false,</v>
      </c>
      <c r="J38" s="1" t="str">
        <f>"null,"</f>
        <v>null,</v>
      </c>
      <c r="K38" s="1" t="str">
        <f>"null"</f>
        <v>null</v>
      </c>
      <c r="L38" s="6"/>
      <c r="M38" s="10" t="str">
        <f>_xlfn.TEXTJOIN("=",FALSE,A$2,A38)</f>
        <v>Id=231,</v>
      </c>
      <c r="N38" s="10" t="str">
        <f>_xlfn.TEXTJOIN("=",FALSE,B$2,B38)</f>
        <v>Title="تگزاس",</v>
      </c>
      <c r="O38" s="10" t="str">
        <f>_xlfn.TEXTJOIN("=",FALSE,C$2,C38)</f>
        <v>ParentId=24,</v>
      </c>
      <c r="P38" s="10" t="str">
        <f>_xlfn.TEXTJOIN("=",FALSE,D$2,D38)</f>
        <v>Guid=Guid.Parse("42D9A72F-D771-47F3-8016-21FCBA8FD5D4"),</v>
      </c>
      <c r="Q38" s="10" t="str">
        <f t="shared" ca="1" si="1"/>
        <v>CreatedDate=new DateTime (2026,3,25,4,26,24),</v>
      </c>
      <c r="R38" s="10" t="str">
        <f t="shared" si="1"/>
        <v>CreatedUserId=null,</v>
      </c>
      <c r="S38" s="10" t="str">
        <f t="shared" si="1"/>
        <v>Description= "Created by seeding data",</v>
      </c>
      <c r="T38" s="10" t="str">
        <f t="shared" si="1"/>
        <v>IsActive=true,</v>
      </c>
      <c r="U38" s="10" t="str">
        <f t="shared" si="1"/>
        <v>IsDeleted=false,</v>
      </c>
      <c r="V38" s="10" t="str">
        <f t="shared" si="1"/>
        <v>LastModifiedDate=null,</v>
      </c>
      <c r="W38" s="10" t="str">
        <f t="shared" si="1"/>
        <v>LastModifiedUserId=null</v>
      </c>
      <c r="X38" s="9" t="str">
        <f t="shared" ca="1" si="2"/>
        <v>Id=231,Title="تگزاس",ParentId=24,Guid=Guid.Parse("42D9A72F-D771-47F3-8016-21FCBA8FD5D4"),CreatedDate=new DateTime (2026,3,25,4,26,24),CreatedUserId=null,Description= "Created by seeding data",IsActive=true,IsDeleted=false,LastModifiedDate=null,LastModifiedUserId=null</v>
      </c>
      <c r="Y38" s="9" t="str">
        <f t="shared" ca="1" si="3"/>
        <v>new State{Id=231,Title="تگزاس",ParentId=24,Guid=Guid.Parse("42D9A72F-D771-47F3-8016-21FCBA8FD5D4"),CreatedDate=new DateTime (2026,3,25,4,26,24),CreatedUserId=null,Description= "Created by seeding data",IsActive=true,IsDeleted=false,LastModifiedDate=null,LastModifiedUserId=null},</v>
      </c>
    </row>
    <row r="39" spans="1:25" ht="19.5" x14ac:dyDescent="0.5">
      <c r="A39" s="1" t="str">
        <f t="shared" si="0"/>
        <v>232,</v>
      </c>
      <c r="B39" s="1" t="s">
        <v>440</v>
      </c>
      <c r="C39" s="1" t="s">
        <v>449</v>
      </c>
      <c r="D39" s="1" t="s">
        <v>244</v>
      </c>
      <c r="E39" s="1" t="str">
        <f ca="1">"new DateTime (" &amp; $C$1&amp;"),"</f>
        <v>new DateTime (2026,3,25,4,26,24),</v>
      </c>
      <c r="F39" s="1" t="str">
        <f>"null,"</f>
        <v>null,</v>
      </c>
      <c r="G39" s="1" t="s">
        <v>207</v>
      </c>
      <c r="H39" s="1" t="str">
        <f>"true,"</f>
        <v>true,</v>
      </c>
      <c r="I39" s="1" t="str">
        <f>"false,"</f>
        <v>false,</v>
      </c>
      <c r="J39" s="1" t="str">
        <f>"null,"</f>
        <v>null,</v>
      </c>
      <c r="K39" s="1" t="str">
        <f>"null"</f>
        <v>null</v>
      </c>
      <c r="L39" s="6"/>
      <c r="M39" s="10" t="str">
        <f>_xlfn.TEXTJOIN("=",FALSE,A$2,A39)</f>
        <v>Id=232,</v>
      </c>
      <c r="N39" s="10" t="str">
        <f>_xlfn.TEXTJOIN("=",FALSE,B$2,B39)</f>
        <v>Title="جورجیا",</v>
      </c>
      <c r="O39" s="10" t="str">
        <f>_xlfn.TEXTJOIN("=",FALSE,C$2,C39)</f>
        <v>ParentId=24,</v>
      </c>
      <c r="P39" s="10" t="str">
        <f>_xlfn.TEXTJOIN("=",FALSE,D$2,D39)</f>
        <v>Guid=Guid.Parse("F01EA438-2B30-4193-B1BE-5F05E3564E7A"),</v>
      </c>
      <c r="Q39" s="10" t="str">
        <f t="shared" ca="1" si="1"/>
        <v>CreatedDate=new DateTime (2026,3,25,4,26,24),</v>
      </c>
      <c r="R39" s="10" t="str">
        <f t="shared" si="1"/>
        <v>CreatedUserId=null,</v>
      </c>
      <c r="S39" s="10" t="str">
        <f t="shared" si="1"/>
        <v>Description= "Created by seeding data",</v>
      </c>
      <c r="T39" s="10" t="str">
        <f t="shared" si="1"/>
        <v>IsActive=true,</v>
      </c>
      <c r="U39" s="10" t="str">
        <f t="shared" si="1"/>
        <v>IsDeleted=false,</v>
      </c>
      <c r="V39" s="10" t="str">
        <f t="shared" si="1"/>
        <v>LastModifiedDate=null,</v>
      </c>
      <c r="W39" s="10" t="str">
        <f t="shared" si="1"/>
        <v>LastModifiedUserId=null</v>
      </c>
      <c r="X39" s="9" t="str">
        <f t="shared" ca="1" si="2"/>
        <v>Id=232,Title="جورجیا",ParentId=24,Guid=Guid.Parse("F01EA438-2B30-4193-B1BE-5F05E3564E7A"),CreatedDate=new DateTime (2026,3,25,4,26,24),CreatedUserId=null,Description= "Created by seeding data",IsActive=true,IsDeleted=false,LastModifiedDate=null,LastModifiedUserId=null</v>
      </c>
      <c r="Y39" s="9" t="str">
        <f t="shared" ca="1" si="3"/>
        <v>new State{Id=232,Title="جورجیا",ParentId=24,Guid=Guid.Parse("F01EA438-2B30-4193-B1BE-5F05E3564E7A"),CreatedDate=new DateTime (2026,3,25,4,26,24),CreatedUserId=null,Description= "Created by seeding data",IsActive=true,IsDeleted=false,LastModifiedDate=null,LastModifiedUserId=null},</v>
      </c>
    </row>
    <row r="40" spans="1:25" ht="19.5" x14ac:dyDescent="0.5">
      <c r="A40" s="1" t="str">
        <f t="shared" si="0"/>
        <v>233,</v>
      </c>
      <c r="B40" s="1" t="s">
        <v>441</v>
      </c>
      <c r="C40" s="1" t="s">
        <v>449</v>
      </c>
      <c r="D40" s="1" t="s">
        <v>245</v>
      </c>
      <c r="E40" s="1" t="str">
        <f ca="1">"new DateTime (" &amp; $C$1&amp;"),"</f>
        <v>new DateTime (2026,3,25,4,26,24),</v>
      </c>
      <c r="F40" s="1" t="str">
        <f>"null,"</f>
        <v>null,</v>
      </c>
      <c r="G40" s="1" t="s">
        <v>207</v>
      </c>
      <c r="H40" s="1" t="str">
        <f>"true,"</f>
        <v>true,</v>
      </c>
      <c r="I40" s="1" t="str">
        <f>"false,"</f>
        <v>false,</v>
      </c>
      <c r="J40" s="1" t="str">
        <f>"null,"</f>
        <v>null,</v>
      </c>
      <c r="K40" s="1" t="str">
        <f>"null"</f>
        <v>null</v>
      </c>
      <c r="L40" s="6"/>
      <c r="M40" s="10" t="str">
        <f>_xlfn.TEXTJOIN("=",FALSE,A$2,A40)</f>
        <v>Id=233,</v>
      </c>
      <c r="N40" s="10" t="str">
        <f>_xlfn.TEXTJOIN("=",FALSE,B$2,B40)</f>
        <v>Title="فلوریدا",</v>
      </c>
      <c r="O40" s="10" t="str">
        <f>_xlfn.TEXTJOIN("=",FALSE,C$2,C40)</f>
        <v>ParentId=24,</v>
      </c>
      <c r="P40" s="10" t="str">
        <f>_xlfn.TEXTJOIN("=",FALSE,D$2,D40)</f>
        <v>Guid=Guid.Parse("82EFB60A-F6AC-4853-821F-DBA8D004D529"),</v>
      </c>
      <c r="Q40" s="10" t="str">
        <f t="shared" ca="1" si="1"/>
        <v>CreatedDate=new DateTime (2026,3,25,4,26,24),</v>
      </c>
      <c r="R40" s="10" t="str">
        <f t="shared" si="1"/>
        <v>CreatedUserId=null,</v>
      </c>
      <c r="S40" s="10" t="str">
        <f t="shared" si="1"/>
        <v>Description= "Created by seeding data",</v>
      </c>
      <c r="T40" s="10" t="str">
        <f t="shared" ref="T40:W83" si="4">_xlfn.TEXTJOIN("=",FALSE,H$2,H40)</f>
        <v>IsActive=true,</v>
      </c>
      <c r="U40" s="10" t="str">
        <f t="shared" si="4"/>
        <v>IsDeleted=false,</v>
      </c>
      <c r="V40" s="10" t="str">
        <f t="shared" si="4"/>
        <v>LastModifiedDate=null,</v>
      </c>
      <c r="W40" s="10" t="str">
        <f t="shared" si="4"/>
        <v>LastModifiedUserId=null</v>
      </c>
      <c r="X40" s="9" t="str">
        <f t="shared" ca="1" si="2"/>
        <v>Id=233,Title="فلوریدا",ParentId=24,Guid=Guid.Parse("82EFB60A-F6AC-4853-821F-DBA8D004D529"),CreatedDate=new DateTime (2026,3,25,4,26,24),CreatedUserId=null,Description= "Created by seeding data",IsActive=true,IsDeleted=false,LastModifiedDate=null,LastModifiedUserId=null</v>
      </c>
      <c r="Y40" s="9" t="str">
        <f t="shared" ca="1" si="3"/>
        <v>new State{Id=233,Title="فلوریدا",ParentId=24,Guid=Guid.Parse("82EFB60A-F6AC-4853-821F-DBA8D004D529"),CreatedDate=new DateTime (2026,3,25,4,26,24),CreatedUserId=null,Description= "Created by seeding data",IsActive=true,IsDeleted=false,LastModifiedDate=null,LastModifiedUserId=null},</v>
      </c>
    </row>
    <row r="41" spans="1:25" ht="19.5" x14ac:dyDescent="0.5">
      <c r="A41" s="1" t="str">
        <f t="shared" si="0"/>
        <v>234,</v>
      </c>
      <c r="B41" s="1" t="s">
        <v>442</v>
      </c>
      <c r="C41" s="1" t="s">
        <v>449</v>
      </c>
      <c r="D41" s="1" t="s">
        <v>246</v>
      </c>
      <c r="E41" s="1" t="str">
        <f ca="1">"new DateTime (" &amp; $C$1&amp;"),"</f>
        <v>new DateTime (2026,3,25,4,26,24),</v>
      </c>
      <c r="F41" s="1" t="str">
        <f>"null,"</f>
        <v>null,</v>
      </c>
      <c r="G41" s="1" t="s">
        <v>207</v>
      </c>
      <c r="H41" s="1" t="str">
        <f>"true,"</f>
        <v>true,</v>
      </c>
      <c r="I41" s="1" t="str">
        <f>"false,"</f>
        <v>false,</v>
      </c>
      <c r="J41" s="1" t="str">
        <f>"null,"</f>
        <v>null,</v>
      </c>
      <c r="K41" s="1" t="str">
        <f>"null"</f>
        <v>null</v>
      </c>
      <c r="L41" s="6"/>
      <c r="M41" s="10" t="str">
        <f>_xlfn.TEXTJOIN("=",FALSE,A$2,A41)</f>
        <v>Id=234,</v>
      </c>
      <c r="N41" s="10" t="str">
        <f>_xlfn.TEXTJOIN("=",FALSE,B$2,B41)</f>
        <v>Title="کارولینای شمالی",</v>
      </c>
      <c r="O41" s="10" t="str">
        <f>_xlfn.TEXTJOIN("=",FALSE,C$2,C41)</f>
        <v>ParentId=24,</v>
      </c>
      <c r="P41" s="10" t="str">
        <f>_xlfn.TEXTJOIN("=",FALSE,D$2,D41)</f>
        <v>Guid=Guid.Parse("974BE3E7-67D3-400B-8AEB-AE567300FB92"),</v>
      </c>
      <c r="Q41" s="10" t="str">
        <f t="shared" ref="Q41:S83" ca="1" si="5">_xlfn.TEXTJOIN("=",FALSE,E$2,E41)</f>
        <v>CreatedDate=new DateTime (2026,3,25,4,26,24),</v>
      </c>
      <c r="R41" s="10" t="str">
        <f t="shared" si="5"/>
        <v>CreatedUserId=null,</v>
      </c>
      <c r="S41" s="10" t="str">
        <f t="shared" si="5"/>
        <v>Description= "Created by seeding data",</v>
      </c>
      <c r="T41" s="10" t="str">
        <f t="shared" si="4"/>
        <v>IsActive=true,</v>
      </c>
      <c r="U41" s="10" t="str">
        <f t="shared" si="4"/>
        <v>IsDeleted=false,</v>
      </c>
      <c r="V41" s="10" t="str">
        <f t="shared" si="4"/>
        <v>LastModifiedDate=null,</v>
      </c>
      <c r="W41" s="10" t="str">
        <f t="shared" si="4"/>
        <v>LastModifiedUserId=null</v>
      </c>
      <c r="X41" s="9" t="str">
        <f t="shared" ca="1" si="2"/>
        <v>Id=234,Title="کارولینای شمالی",ParentId=24,Guid=Guid.Parse("974BE3E7-67D3-400B-8AEB-AE567300FB92"),CreatedDate=new DateTime (2026,3,25,4,26,24),CreatedUserId=null,Description= "Created by seeding data",IsActive=true,IsDeleted=false,LastModifiedDate=null,LastModifiedUserId=null</v>
      </c>
      <c r="Y41" s="9" t="str">
        <f t="shared" ca="1" si="3"/>
        <v>new State{Id=234,Title="کارولینای شمالی",ParentId=24,Guid=Guid.Parse("974BE3E7-67D3-400B-8AEB-AE567300FB92"),CreatedDate=new DateTime (2026,3,25,4,26,24),CreatedUserId=null,Description= "Created by seeding data",IsActive=true,IsDeleted=false,LastModifiedDate=null,LastModifiedUserId=null},</v>
      </c>
    </row>
    <row r="42" spans="1:25" ht="19.5" x14ac:dyDescent="0.5">
      <c r="A42" s="1" t="str">
        <f t="shared" si="0"/>
        <v>235,</v>
      </c>
      <c r="B42" s="1" t="s">
        <v>443</v>
      </c>
      <c r="C42" s="1" t="s">
        <v>449</v>
      </c>
      <c r="D42" s="1" t="s">
        <v>247</v>
      </c>
      <c r="E42" s="1" t="str">
        <f ca="1">"new DateTime (" &amp; $C$1&amp;"),"</f>
        <v>new DateTime (2026,3,25,4,26,24),</v>
      </c>
      <c r="F42" s="1" t="str">
        <f>"null,"</f>
        <v>null,</v>
      </c>
      <c r="G42" s="1" t="s">
        <v>207</v>
      </c>
      <c r="H42" s="1" t="str">
        <f>"true,"</f>
        <v>true,</v>
      </c>
      <c r="I42" s="1" t="str">
        <f>"false,"</f>
        <v>false,</v>
      </c>
      <c r="J42" s="1" t="str">
        <f>"null,"</f>
        <v>null,</v>
      </c>
      <c r="K42" s="1" t="str">
        <f>"null"</f>
        <v>null</v>
      </c>
      <c r="L42" s="6"/>
      <c r="M42" s="10" t="str">
        <f>_xlfn.TEXTJOIN("=",FALSE,A$2,A42)</f>
        <v>Id=235,</v>
      </c>
      <c r="N42" s="10" t="str">
        <f>_xlfn.TEXTJOIN("=",FALSE,B$2,B42)</f>
        <v>Title="ماساچوست",</v>
      </c>
      <c r="O42" s="10" t="str">
        <f>_xlfn.TEXTJOIN("=",FALSE,C$2,C42)</f>
        <v>ParentId=24,</v>
      </c>
      <c r="P42" s="10" t="str">
        <f>_xlfn.TEXTJOIN("=",FALSE,D$2,D42)</f>
        <v>Guid=Guid.Parse("D5154C2D-ADB1-49AE-A724-BE1B7A046D8F"),</v>
      </c>
      <c r="Q42" s="10" t="str">
        <f t="shared" ca="1" si="5"/>
        <v>CreatedDate=new DateTime (2026,3,25,4,26,24),</v>
      </c>
      <c r="R42" s="10" t="str">
        <f t="shared" si="5"/>
        <v>CreatedUserId=null,</v>
      </c>
      <c r="S42" s="10" t="str">
        <f t="shared" si="5"/>
        <v>Description= "Created by seeding data",</v>
      </c>
      <c r="T42" s="10" t="str">
        <f t="shared" si="4"/>
        <v>IsActive=true,</v>
      </c>
      <c r="U42" s="10" t="str">
        <f t="shared" si="4"/>
        <v>IsDeleted=false,</v>
      </c>
      <c r="V42" s="10" t="str">
        <f t="shared" si="4"/>
        <v>LastModifiedDate=null,</v>
      </c>
      <c r="W42" s="10" t="str">
        <f t="shared" si="4"/>
        <v>LastModifiedUserId=null</v>
      </c>
      <c r="X42" s="9" t="str">
        <f t="shared" ca="1" si="2"/>
        <v>Id=235,Title="ماساچوست",ParentId=24,Guid=Guid.Parse("D5154C2D-ADB1-49AE-A724-BE1B7A046D8F"),CreatedDate=new DateTime (2026,3,25,4,26,24),CreatedUserId=null,Description= "Created by seeding data",IsActive=true,IsDeleted=false,LastModifiedDate=null,LastModifiedUserId=null</v>
      </c>
      <c r="Y42" s="9" t="str">
        <f t="shared" ca="1" si="3"/>
        <v>new State{Id=235,Title="ماساچوست",ParentId=24,Guid=Guid.Parse("D5154C2D-ADB1-49AE-A724-BE1B7A046D8F"),CreatedDate=new DateTime (2026,3,25,4,26,24),CreatedUserId=null,Description= "Created by seeding data",IsActive=true,IsDeleted=false,LastModifiedDate=null,LastModifiedUserId=null},</v>
      </c>
    </row>
    <row r="43" spans="1:25" ht="19.5" x14ac:dyDescent="0.5">
      <c r="A43" s="1" t="str">
        <f t="shared" si="0"/>
        <v>236,</v>
      </c>
      <c r="B43" s="1" t="s">
        <v>444</v>
      </c>
      <c r="C43" s="1" t="s">
        <v>449</v>
      </c>
      <c r="D43" s="1" t="s">
        <v>248</v>
      </c>
      <c r="E43" s="1" t="str">
        <f ca="1">"new DateTime (" &amp; $C$1&amp;"),"</f>
        <v>new DateTime (2026,3,25,4,26,24),</v>
      </c>
      <c r="F43" s="1" t="str">
        <f>"null,"</f>
        <v>null,</v>
      </c>
      <c r="G43" s="1" t="s">
        <v>207</v>
      </c>
      <c r="H43" s="1" t="str">
        <f>"true,"</f>
        <v>true,</v>
      </c>
      <c r="I43" s="1" t="str">
        <f>"false,"</f>
        <v>false,</v>
      </c>
      <c r="J43" s="1" t="str">
        <f>"null,"</f>
        <v>null,</v>
      </c>
      <c r="K43" s="1" t="str">
        <f>"null"</f>
        <v>null</v>
      </c>
      <c r="L43" s="6"/>
      <c r="M43" s="10" t="str">
        <f>_xlfn.TEXTJOIN("=",FALSE,A$2,A43)</f>
        <v>Id=236,</v>
      </c>
      <c r="N43" s="10" t="str">
        <f>_xlfn.TEXTJOIN("=",FALSE,B$2,B43)</f>
        <v>Title="میشیگان",</v>
      </c>
      <c r="O43" s="10" t="str">
        <f>_xlfn.TEXTJOIN("=",FALSE,C$2,C43)</f>
        <v>ParentId=24,</v>
      </c>
      <c r="P43" s="10" t="str">
        <f>_xlfn.TEXTJOIN("=",FALSE,D$2,D43)</f>
        <v>Guid=Guid.Parse("829BD688-6AB9-4F7A-9F55-F0E5BC075C48"),</v>
      </c>
      <c r="Q43" s="10" t="str">
        <f t="shared" ca="1" si="5"/>
        <v>CreatedDate=new DateTime (2026,3,25,4,26,24),</v>
      </c>
      <c r="R43" s="10" t="str">
        <f t="shared" si="5"/>
        <v>CreatedUserId=null,</v>
      </c>
      <c r="S43" s="10" t="str">
        <f t="shared" si="5"/>
        <v>Description= "Created by seeding data",</v>
      </c>
      <c r="T43" s="10" t="str">
        <f t="shared" si="4"/>
        <v>IsActive=true,</v>
      </c>
      <c r="U43" s="10" t="str">
        <f t="shared" si="4"/>
        <v>IsDeleted=false,</v>
      </c>
      <c r="V43" s="10" t="str">
        <f t="shared" si="4"/>
        <v>LastModifiedDate=null,</v>
      </c>
      <c r="W43" s="10" t="str">
        <f t="shared" si="4"/>
        <v>LastModifiedUserId=null</v>
      </c>
      <c r="X43" s="9" t="str">
        <f t="shared" ca="1" si="2"/>
        <v>Id=236,Title="میشیگان",ParentId=24,Guid=Guid.Parse("829BD688-6AB9-4F7A-9F55-F0E5BC075C48"),CreatedDate=new DateTime (2026,3,25,4,26,24),CreatedUserId=null,Description= "Created by seeding data",IsActive=true,IsDeleted=false,LastModifiedDate=null,LastModifiedUserId=null</v>
      </c>
      <c r="Y43" s="9" t="str">
        <f t="shared" ca="1" si="3"/>
        <v>new State{Id=236,Title="میشیگان",ParentId=24,Guid=Guid.Parse("829BD688-6AB9-4F7A-9F55-F0E5BC075C48"),CreatedDate=new DateTime (2026,3,25,4,26,24),CreatedUserId=null,Description= "Created by seeding data",IsActive=true,IsDeleted=false,LastModifiedDate=null,LastModifiedUserId=null},</v>
      </c>
    </row>
    <row r="44" spans="1:25" ht="19.5" x14ac:dyDescent="0.5">
      <c r="A44" s="1" t="str">
        <f t="shared" si="0"/>
        <v>237,</v>
      </c>
      <c r="B44" s="1" t="s">
        <v>445</v>
      </c>
      <c r="C44" s="1" t="s">
        <v>449</v>
      </c>
      <c r="D44" s="1" t="s">
        <v>249</v>
      </c>
      <c r="E44" s="1" t="str">
        <f ca="1">"new DateTime (" &amp; $C$1&amp;"),"</f>
        <v>new DateTime (2026,3,25,4,26,24),</v>
      </c>
      <c r="F44" s="1" t="str">
        <f>"null,"</f>
        <v>null,</v>
      </c>
      <c r="G44" s="1" t="s">
        <v>207</v>
      </c>
      <c r="H44" s="1" t="str">
        <f>"true,"</f>
        <v>true,</v>
      </c>
      <c r="I44" s="1" t="str">
        <f>"false,"</f>
        <v>false,</v>
      </c>
      <c r="J44" s="1" t="str">
        <f>"null,"</f>
        <v>null,</v>
      </c>
      <c r="K44" s="1" t="str">
        <f>"null"</f>
        <v>null</v>
      </c>
      <c r="L44" s="6"/>
      <c r="M44" s="10" t="str">
        <f>_xlfn.TEXTJOIN("=",FALSE,A$2,A44)</f>
        <v>Id=237,</v>
      </c>
      <c r="N44" s="10" t="str">
        <f>_xlfn.TEXTJOIN("=",FALSE,B$2,B44)</f>
        <v>Title="نیوجرسی",</v>
      </c>
      <c r="O44" s="10" t="str">
        <f>_xlfn.TEXTJOIN("=",FALSE,C$2,C44)</f>
        <v>ParentId=24,</v>
      </c>
      <c r="P44" s="10" t="str">
        <f>_xlfn.TEXTJOIN("=",FALSE,D$2,D44)</f>
        <v>Guid=Guid.Parse("44628EF5-1D76-49A6-95D7-00CC99E88EB0"),</v>
      </c>
      <c r="Q44" s="10" t="str">
        <f t="shared" ca="1" si="5"/>
        <v>CreatedDate=new DateTime (2026,3,25,4,26,24),</v>
      </c>
      <c r="R44" s="10" t="str">
        <f t="shared" si="5"/>
        <v>CreatedUserId=null,</v>
      </c>
      <c r="S44" s="10" t="str">
        <f t="shared" si="5"/>
        <v>Description= "Created by seeding data",</v>
      </c>
      <c r="T44" s="10" t="str">
        <f t="shared" si="4"/>
        <v>IsActive=true,</v>
      </c>
      <c r="U44" s="10" t="str">
        <f t="shared" si="4"/>
        <v>IsDeleted=false,</v>
      </c>
      <c r="V44" s="10" t="str">
        <f t="shared" si="4"/>
        <v>LastModifiedDate=null,</v>
      </c>
      <c r="W44" s="10" t="str">
        <f t="shared" si="4"/>
        <v>LastModifiedUserId=null</v>
      </c>
      <c r="X44" s="9" t="str">
        <f t="shared" ca="1" si="2"/>
        <v>Id=237,Title="نیوجرسی",ParentId=24,Guid=Guid.Parse("44628EF5-1D76-49A6-95D7-00CC99E88EB0"),CreatedDate=new DateTime (2026,3,25,4,26,24),CreatedUserId=null,Description= "Created by seeding data",IsActive=true,IsDeleted=false,LastModifiedDate=null,LastModifiedUserId=null</v>
      </c>
      <c r="Y44" s="9" t="str">
        <f t="shared" ca="1" si="3"/>
        <v>new State{Id=237,Title="نیوجرسی",ParentId=24,Guid=Guid.Parse("44628EF5-1D76-49A6-95D7-00CC99E88EB0"),CreatedDate=new DateTime (2026,3,25,4,26,24),CreatedUserId=null,Description= "Created by seeding data",IsActive=true,IsDeleted=false,LastModifiedDate=null,LastModifiedUserId=null},</v>
      </c>
    </row>
    <row r="45" spans="1:25" ht="19.5" x14ac:dyDescent="0.5">
      <c r="A45" s="1" t="str">
        <f t="shared" si="0"/>
        <v>238,</v>
      </c>
      <c r="B45" s="1" t="s">
        <v>446</v>
      </c>
      <c r="C45" s="1" t="s">
        <v>449</v>
      </c>
      <c r="D45" s="1" t="s">
        <v>250</v>
      </c>
      <c r="E45" s="1" t="str">
        <f ca="1">"new DateTime (" &amp; $C$1&amp;"),"</f>
        <v>new DateTime (2026,3,25,4,26,24),</v>
      </c>
      <c r="F45" s="1" t="str">
        <f>"null,"</f>
        <v>null,</v>
      </c>
      <c r="G45" s="1" t="s">
        <v>207</v>
      </c>
      <c r="H45" s="1" t="str">
        <f>"true,"</f>
        <v>true,</v>
      </c>
      <c r="I45" s="1" t="str">
        <f>"false,"</f>
        <v>false,</v>
      </c>
      <c r="J45" s="1" t="str">
        <f>"null,"</f>
        <v>null,</v>
      </c>
      <c r="K45" s="1" t="str">
        <f>"null"</f>
        <v>null</v>
      </c>
      <c r="L45" s="6"/>
      <c r="M45" s="10" t="str">
        <f>_xlfn.TEXTJOIN("=",FALSE,A$2,A45)</f>
        <v>Id=238,</v>
      </c>
      <c r="N45" s="10" t="str">
        <f>_xlfn.TEXTJOIN("=",FALSE,B$2,B45)</f>
        <v>Title="نیویورک",</v>
      </c>
      <c r="O45" s="10" t="str">
        <f>_xlfn.TEXTJOIN("=",FALSE,C$2,C45)</f>
        <v>ParentId=24,</v>
      </c>
      <c r="P45" s="10" t="str">
        <f>_xlfn.TEXTJOIN("=",FALSE,D$2,D45)</f>
        <v>Guid=Guid.Parse("08BCF714-3CB1-4803-9F05-E9726518D44E"),</v>
      </c>
      <c r="Q45" s="10" t="str">
        <f t="shared" ca="1" si="5"/>
        <v>CreatedDate=new DateTime (2026,3,25,4,26,24),</v>
      </c>
      <c r="R45" s="10" t="str">
        <f t="shared" si="5"/>
        <v>CreatedUserId=null,</v>
      </c>
      <c r="S45" s="10" t="str">
        <f t="shared" si="5"/>
        <v>Description= "Created by seeding data",</v>
      </c>
      <c r="T45" s="10" t="str">
        <f t="shared" si="4"/>
        <v>IsActive=true,</v>
      </c>
      <c r="U45" s="10" t="str">
        <f t="shared" si="4"/>
        <v>IsDeleted=false,</v>
      </c>
      <c r="V45" s="10" t="str">
        <f t="shared" si="4"/>
        <v>LastModifiedDate=null,</v>
      </c>
      <c r="W45" s="10" t="str">
        <f t="shared" si="4"/>
        <v>LastModifiedUserId=null</v>
      </c>
      <c r="X45" s="9" t="str">
        <f t="shared" ca="1" si="2"/>
        <v>Id=238,Title="نیویورک",ParentId=24,Guid=Guid.Parse("08BCF714-3CB1-4803-9F05-E9726518D44E"),CreatedDate=new DateTime (2026,3,25,4,26,24),CreatedUserId=null,Description= "Created by seeding data",IsActive=true,IsDeleted=false,LastModifiedDate=null,LastModifiedUserId=null</v>
      </c>
      <c r="Y45" s="9" t="str">
        <f t="shared" ca="1" si="3"/>
        <v>new State{Id=238,Title="نیویورک",ParentId=24,Guid=Guid.Parse("08BCF714-3CB1-4803-9F05-E9726518D44E"),CreatedDate=new DateTime (2026,3,25,4,26,24),CreatedUserId=null,Description= "Created by seeding data",IsActive=true,IsDeleted=false,LastModifiedDate=null,LastModifiedUserId=null},</v>
      </c>
    </row>
    <row r="46" spans="1:25" ht="19.5" x14ac:dyDescent="0.5">
      <c r="A46" s="1" t="str">
        <f t="shared" si="0"/>
        <v>239,</v>
      </c>
      <c r="B46" s="1" t="s">
        <v>447</v>
      </c>
      <c r="C46" s="1" t="s">
        <v>449</v>
      </c>
      <c r="D46" s="1" t="s">
        <v>251</v>
      </c>
      <c r="E46" s="1" t="str">
        <f ca="1">"new DateTime (" &amp; $C$1&amp;"),"</f>
        <v>new DateTime (2026,3,25,4,26,24),</v>
      </c>
      <c r="F46" s="1" t="str">
        <f>"null,"</f>
        <v>null,</v>
      </c>
      <c r="G46" s="1" t="s">
        <v>207</v>
      </c>
      <c r="H46" s="1" t="str">
        <f>"true,"</f>
        <v>true,</v>
      </c>
      <c r="I46" s="1" t="str">
        <f>"false,"</f>
        <v>false,</v>
      </c>
      <c r="J46" s="1" t="str">
        <f>"null,"</f>
        <v>null,</v>
      </c>
      <c r="K46" s="1" t="str">
        <f>"null"</f>
        <v>null</v>
      </c>
      <c r="L46" s="6"/>
      <c r="M46" s="10" t="str">
        <f>_xlfn.TEXTJOIN("=",FALSE,A$2,A46)</f>
        <v>Id=239,</v>
      </c>
      <c r="N46" s="10" t="str">
        <f>_xlfn.TEXTJOIN("=",FALSE,B$2,B46)</f>
        <v>Title="واشینگتن",</v>
      </c>
      <c r="O46" s="10" t="str">
        <f>_xlfn.TEXTJOIN("=",FALSE,C$2,C46)</f>
        <v>ParentId=24,</v>
      </c>
      <c r="P46" s="10" t="str">
        <f>_xlfn.TEXTJOIN("=",FALSE,D$2,D46)</f>
        <v>Guid=Guid.Parse("574A74A2-382B-4E9F-81FE-D7CFD1090CF5"),</v>
      </c>
      <c r="Q46" s="10" t="str">
        <f t="shared" ca="1" si="5"/>
        <v>CreatedDate=new DateTime (2026,3,25,4,26,24),</v>
      </c>
      <c r="R46" s="10" t="str">
        <f t="shared" si="5"/>
        <v>CreatedUserId=null,</v>
      </c>
      <c r="S46" s="10" t="str">
        <f t="shared" si="5"/>
        <v>Description= "Created by seeding data",</v>
      </c>
      <c r="T46" s="10" t="str">
        <f t="shared" si="4"/>
        <v>IsActive=true,</v>
      </c>
      <c r="U46" s="10" t="str">
        <f t="shared" si="4"/>
        <v>IsDeleted=false,</v>
      </c>
      <c r="V46" s="10" t="str">
        <f t="shared" si="4"/>
        <v>LastModifiedDate=null,</v>
      </c>
      <c r="W46" s="10" t="str">
        <f t="shared" si="4"/>
        <v>LastModifiedUserId=null</v>
      </c>
      <c r="X46" s="9" t="str">
        <f t="shared" ca="1" si="2"/>
        <v>Id=239,Title="واشینگتن",ParentId=24,Guid=Guid.Parse("574A74A2-382B-4E9F-81FE-D7CFD1090CF5"),CreatedDate=new DateTime (2026,3,25,4,26,24),CreatedUserId=null,Description= "Created by seeding data",IsActive=true,IsDeleted=false,LastModifiedDate=null,LastModifiedUserId=null</v>
      </c>
      <c r="Y46" s="9" t="str">
        <f t="shared" ca="1" si="3"/>
        <v>new State{Id=239,Title="واشینگتن",ParentId=24,Guid=Guid.Parse("574A74A2-382B-4E9F-81FE-D7CFD1090CF5"),CreatedDate=new DateTime (2026,3,25,4,26,24),CreatedUserId=null,Description= "Created by seeding data",IsActive=true,IsDeleted=false,LastModifiedDate=null,LastModifiedUserId=null},</v>
      </c>
    </row>
    <row r="47" spans="1:25" ht="19.5" x14ac:dyDescent="0.5">
      <c r="A47" s="1" t="str">
        <f t="shared" si="0"/>
        <v>240,</v>
      </c>
      <c r="B47" s="1" t="s">
        <v>448</v>
      </c>
      <c r="C47" s="1" t="s">
        <v>449</v>
      </c>
      <c r="D47" s="1" t="s">
        <v>252</v>
      </c>
      <c r="E47" s="1" t="str">
        <f ca="1">"new DateTime (" &amp; $C$1&amp;"),"</f>
        <v>new DateTime (2026,3,25,4,26,24),</v>
      </c>
      <c r="F47" s="1" t="str">
        <f>"null,"</f>
        <v>null,</v>
      </c>
      <c r="G47" s="1" t="s">
        <v>207</v>
      </c>
      <c r="H47" s="1" t="str">
        <f>"true,"</f>
        <v>true,</v>
      </c>
      <c r="I47" s="1" t="str">
        <f>"false,"</f>
        <v>false,</v>
      </c>
      <c r="J47" s="1" t="str">
        <f>"null,"</f>
        <v>null,</v>
      </c>
      <c r="K47" s="1" t="str">
        <f>"null"</f>
        <v>null</v>
      </c>
      <c r="L47" s="6"/>
      <c r="M47" s="10" t="str">
        <f>_xlfn.TEXTJOIN("=",FALSE,A$2,A47)</f>
        <v>Id=240,</v>
      </c>
      <c r="N47" s="10" t="str">
        <f>_xlfn.TEXTJOIN("=",FALSE,B$2,B47)</f>
        <v>Title="ویرجینیا",</v>
      </c>
      <c r="O47" s="10" t="str">
        <f>_xlfn.TEXTJOIN("=",FALSE,C$2,C47)</f>
        <v>ParentId=24,</v>
      </c>
      <c r="P47" s="10" t="str">
        <f>_xlfn.TEXTJOIN("=",FALSE,D$2,D47)</f>
        <v>Guid=Guid.Parse("A94285BF-710A-4CEC-BB66-1B15A1B46C5F"),</v>
      </c>
      <c r="Q47" s="10" t="str">
        <f t="shared" ca="1" si="5"/>
        <v>CreatedDate=new DateTime (2026,3,25,4,26,24),</v>
      </c>
      <c r="R47" s="10" t="str">
        <f t="shared" si="5"/>
        <v>CreatedUserId=null,</v>
      </c>
      <c r="S47" s="10" t="str">
        <f t="shared" si="5"/>
        <v>Description= "Created by seeding data",</v>
      </c>
      <c r="T47" s="10" t="str">
        <f t="shared" si="4"/>
        <v>IsActive=true,</v>
      </c>
      <c r="U47" s="10" t="str">
        <f t="shared" si="4"/>
        <v>IsDeleted=false,</v>
      </c>
      <c r="V47" s="10" t="str">
        <f t="shared" si="4"/>
        <v>LastModifiedDate=null,</v>
      </c>
      <c r="W47" s="10" t="str">
        <f t="shared" si="4"/>
        <v>LastModifiedUserId=null</v>
      </c>
      <c r="X47" s="9" t="str">
        <f t="shared" ca="1" si="2"/>
        <v>Id=240,Title="ویرجینیا",ParentId=24,Guid=Guid.Parse("A94285BF-710A-4CEC-BB66-1B15A1B46C5F"),CreatedDate=new DateTime (2026,3,25,4,26,24),CreatedUserId=null,Description= "Created by seeding data",IsActive=true,IsDeleted=false,LastModifiedDate=null,LastModifiedUserId=null</v>
      </c>
      <c r="Y47" s="9" t="str">
        <f t="shared" ca="1" si="3"/>
        <v>new State{Id=240,Title="ویرجینیا",ParentId=24,Guid=Guid.Parse("A94285BF-710A-4CEC-BB66-1B15A1B46C5F"),CreatedDate=new DateTime (2026,3,25,4,26,24),CreatedUserId=null,Description= "Created by seeding data",IsActive=true,IsDeleted=false,LastModifiedDate=null,LastModifiedUserId=null},</v>
      </c>
    </row>
    <row r="48" spans="1:25" ht="19.5" x14ac:dyDescent="0.5">
      <c r="A48" s="1" t="str">
        <f t="shared" si="0"/>
        <v>241,</v>
      </c>
      <c r="B48" s="1" t="s">
        <v>450</v>
      </c>
      <c r="C48" s="1" t="s">
        <v>469</v>
      </c>
      <c r="D48" s="1" t="s">
        <v>253</v>
      </c>
      <c r="E48" s="1" t="str">
        <f ca="1">"new DateTime (" &amp; $C$1&amp;"),"</f>
        <v>new DateTime (2026,3,25,4,26,24),</v>
      </c>
      <c r="F48" s="1" t="str">
        <f>"null,"</f>
        <v>null,</v>
      </c>
      <c r="G48" s="1" t="s">
        <v>207</v>
      </c>
      <c r="H48" s="1" t="str">
        <f>"true,"</f>
        <v>true,</v>
      </c>
      <c r="I48" s="1" t="str">
        <f>"false,"</f>
        <v>false,</v>
      </c>
      <c r="J48" s="1" t="str">
        <f>"null,"</f>
        <v>null,</v>
      </c>
      <c r="K48" s="1" t="str">
        <f>"null"</f>
        <v>null</v>
      </c>
      <c r="L48" s="6"/>
      <c r="M48" s="10" t="str">
        <f>_xlfn.TEXTJOIN("=",FALSE,A$2,A48)</f>
        <v>Id=241,</v>
      </c>
      <c r="N48" s="10" t="str">
        <f>_xlfn.TEXTJOIN("=",FALSE,B$2,B48)</f>
        <v>Title="آلبرتا",</v>
      </c>
      <c r="O48" s="10" t="str">
        <f>_xlfn.TEXTJOIN("=",FALSE,C$2,C48)</f>
        <v>ParentId=127,</v>
      </c>
      <c r="P48" s="10" t="str">
        <f>_xlfn.TEXTJOIN("=",FALSE,D$2,D48)</f>
        <v>Guid=Guid.Parse("E6996240-D921-4818-B630-5678C06216BB"),</v>
      </c>
      <c r="Q48" s="10" t="str">
        <f t="shared" ca="1" si="5"/>
        <v>CreatedDate=new DateTime (2026,3,25,4,26,24),</v>
      </c>
      <c r="R48" s="10" t="str">
        <f t="shared" si="5"/>
        <v>CreatedUserId=null,</v>
      </c>
      <c r="S48" s="10" t="str">
        <f t="shared" si="5"/>
        <v>Description= "Created by seeding data",</v>
      </c>
      <c r="T48" s="10" t="str">
        <f t="shared" si="4"/>
        <v>IsActive=true,</v>
      </c>
      <c r="U48" s="10" t="str">
        <f t="shared" si="4"/>
        <v>IsDeleted=false,</v>
      </c>
      <c r="V48" s="10" t="str">
        <f t="shared" si="4"/>
        <v>LastModifiedDate=null,</v>
      </c>
      <c r="W48" s="10" t="str">
        <f t="shared" si="4"/>
        <v>LastModifiedUserId=null</v>
      </c>
      <c r="X48" s="9" t="str">
        <f t="shared" ca="1" si="2"/>
        <v>Id=241,Title="آلبرتا",ParentId=127,Guid=Guid.Parse("E6996240-D921-4818-B630-5678C06216BB"),CreatedDate=new DateTime (2026,3,25,4,26,24),CreatedUserId=null,Description= "Created by seeding data",IsActive=true,IsDeleted=false,LastModifiedDate=null,LastModifiedUserId=null</v>
      </c>
      <c r="Y48" s="9" t="str">
        <f t="shared" ca="1" si="3"/>
        <v>new State{Id=241,Title="آلبرتا",ParentId=127,Guid=Guid.Parse("E6996240-D921-4818-B630-5678C06216BB"),CreatedDate=new DateTime (2026,3,25,4,26,24),CreatedUserId=null,Description= "Created by seeding data",IsActive=true,IsDeleted=false,LastModifiedDate=null,LastModifiedUserId=null},</v>
      </c>
    </row>
    <row r="49" spans="1:28" ht="19.5" x14ac:dyDescent="0.5">
      <c r="A49" s="1" t="str">
        <f t="shared" si="0"/>
        <v>242,</v>
      </c>
      <c r="B49" s="1" t="s">
        <v>451</v>
      </c>
      <c r="C49" s="1" t="s">
        <v>469</v>
      </c>
      <c r="D49" s="1" t="s">
        <v>254</v>
      </c>
      <c r="E49" s="1" t="str">
        <f ca="1">"new DateTime (" &amp; $C$1&amp;"),"</f>
        <v>new DateTime (2026,3,25,4,26,24),</v>
      </c>
      <c r="F49" s="1" t="str">
        <f>"null,"</f>
        <v>null,</v>
      </c>
      <c r="G49" s="1" t="s">
        <v>207</v>
      </c>
      <c r="H49" s="1" t="str">
        <f>"true,"</f>
        <v>true,</v>
      </c>
      <c r="I49" s="1" t="str">
        <f>"false,"</f>
        <v>false,</v>
      </c>
      <c r="J49" s="1" t="str">
        <f>"null,"</f>
        <v>null,</v>
      </c>
      <c r="K49" s="1" t="str">
        <f>"null"</f>
        <v>null</v>
      </c>
      <c r="L49" s="6"/>
      <c r="M49" s="10" t="str">
        <f>_xlfn.TEXTJOIN("=",FALSE,A$2,A49)</f>
        <v>Id=242,</v>
      </c>
      <c r="N49" s="10" t="str">
        <f>_xlfn.TEXTJOIN("=",FALSE,B$2,B49)</f>
        <v>Title="بریتیش کلمبیا",</v>
      </c>
      <c r="O49" s="10" t="str">
        <f>_xlfn.TEXTJOIN("=",FALSE,C$2,C49)</f>
        <v>ParentId=127,</v>
      </c>
      <c r="P49" s="10" t="str">
        <f>_xlfn.TEXTJOIN("=",FALSE,D$2,D49)</f>
        <v>Guid=Guid.Parse("7B1B225A-6BB6-4017-8804-98208B6DAB93"),</v>
      </c>
      <c r="Q49" s="10" t="str">
        <f t="shared" ca="1" si="5"/>
        <v>CreatedDate=new DateTime (2026,3,25,4,26,24),</v>
      </c>
      <c r="R49" s="10" t="str">
        <f t="shared" si="5"/>
        <v>CreatedUserId=null,</v>
      </c>
      <c r="S49" s="10" t="str">
        <f t="shared" si="5"/>
        <v>Description= "Created by seeding data",</v>
      </c>
      <c r="T49" s="10" t="str">
        <f t="shared" si="4"/>
        <v>IsActive=true,</v>
      </c>
      <c r="U49" s="10" t="str">
        <f t="shared" si="4"/>
        <v>IsDeleted=false,</v>
      </c>
      <c r="V49" s="10" t="str">
        <f t="shared" si="4"/>
        <v>LastModifiedDate=null,</v>
      </c>
      <c r="W49" s="10" t="str">
        <f t="shared" si="4"/>
        <v>LastModifiedUserId=null</v>
      </c>
      <c r="X49" s="9" t="str">
        <f t="shared" ca="1" si="2"/>
        <v>Id=242,Title="بریتیش کلمبیا",ParentId=127,Guid=Guid.Parse("7B1B225A-6BB6-4017-8804-98208B6DAB93"),CreatedDate=new DateTime (2026,3,25,4,26,24),CreatedUserId=null,Description= "Created by seeding data",IsActive=true,IsDeleted=false,LastModifiedDate=null,LastModifiedUserId=null</v>
      </c>
      <c r="Y49" s="9" t="str">
        <f t="shared" ca="1" si="3"/>
        <v>new State{Id=242,Title="بریتیش کلمبیا",ParentId=127,Guid=Guid.Parse("7B1B225A-6BB6-4017-8804-98208B6DAB93"),CreatedDate=new DateTime (2026,3,25,4,26,24),CreatedUserId=null,Description= "Created by seeding data",IsActive=true,IsDeleted=false,LastModifiedDate=null,LastModifiedUserId=null},</v>
      </c>
    </row>
    <row r="50" spans="1:28" ht="19.5" x14ac:dyDescent="0.5">
      <c r="A50" s="1" t="str">
        <f t="shared" si="0"/>
        <v>243,</v>
      </c>
      <c r="B50" s="1" t="s">
        <v>452</v>
      </c>
      <c r="C50" s="1" t="s">
        <v>469</v>
      </c>
      <c r="D50" s="1" t="s">
        <v>255</v>
      </c>
      <c r="E50" s="1" t="str">
        <f ca="1">"new DateTime (" &amp; $C$1&amp;"),"</f>
        <v>new DateTime (2026,3,25,4,26,24),</v>
      </c>
      <c r="F50" s="1" t="str">
        <f>"null,"</f>
        <v>null,</v>
      </c>
      <c r="G50" s="1" t="s">
        <v>207</v>
      </c>
      <c r="H50" s="1" t="str">
        <f>"true,"</f>
        <v>true,</v>
      </c>
      <c r="I50" s="1" t="str">
        <f>"false,"</f>
        <v>false,</v>
      </c>
      <c r="J50" s="1" t="str">
        <f>"null,"</f>
        <v>null,</v>
      </c>
      <c r="K50" s="1" t="str">
        <f>"null"</f>
        <v>null</v>
      </c>
      <c r="L50" s="6"/>
      <c r="M50" s="10" t="str">
        <f>_xlfn.TEXTJOIN("=",FALSE,A$2,A50)</f>
        <v>Id=243,</v>
      </c>
      <c r="N50" s="10" t="str">
        <f>_xlfn.TEXTJOIN("=",FALSE,B$2,B50)</f>
        <v>Title="جزیره پرنس ادوارد",</v>
      </c>
      <c r="O50" s="10" t="str">
        <f>_xlfn.TEXTJOIN("=",FALSE,C$2,C50)</f>
        <v>ParentId=127,</v>
      </c>
      <c r="P50" s="10" t="str">
        <f>_xlfn.TEXTJOIN("=",FALSE,D$2,D50)</f>
        <v>Guid=Guid.Parse("9BCF9C3E-148D-4624-9D6F-4C75E8A80AE5"),</v>
      </c>
      <c r="Q50" s="10" t="str">
        <f t="shared" ca="1" si="5"/>
        <v>CreatedDate=new DateTime (2026,3,25,4,26,24),</v>
      </c>
      <c r="R50" s="10" t="str">
        <f t="shared" si="5"/>
        <v>CreatedUserId=null,</v>
      </c>
      <c r="S50" s="10" t="str">
        <f t="shared" si="5"/>
        <v>Description= "Created by seeding data",</v>
      </c>
      <c r="T50" s="10" t="str">
        <f t="shared" si="4"/>
        <v>IsActive=true,</v>
      </c>
      <c r="U50" s="10" t="str">
        <f t="shared" si="4"/>
        <v>IsDeleted=false,</v>
      </c>
      <c r="V50" s="10" t="str">
        <f t="shared" si="4"/>
        <v>LastModifiedDate=null,</v>
      </c>
      <c r="W50" s="10" t="str">
        <f t="shared" si="4"/>
        <v>LastModifiedUserId=null</v>
      </c>
      <c r="X50" s="9" t="str">
        <f t="shared" ca="1" si="2"/>
        <v>Id=243,Title="جزیره پرنس ادوارد",ParentId=127,Guid=Guid.Parse("9BCF9C3E-148D-4624-9D6F-4C75E8A80AE5"),CreatedDate=new DateTime (2026,3,25,4,26,24),CreatedUserId=null,Description= "Created by seeding data",IsActive=true,IsDeleted=false,LastModifiedDate=null,LastModifiedUserId=null</v>
      </c>
      <c r="Y50" s="9" t="str">
        <f t="shared" ca="1" si="3"/>
        <v>new State{Id=243,Title="جزیره پرنس ادوارد",ParentId=127,Guid=Guid.Parse("9BCF9C3E-148D-4624-9D6F-4C75E8A80AE5"),CreatedDate=new DateTime (2026,3,25,4,26,24),CreatedUserId=null,Description= "Created by seeding data",IsActive=true,IsDeleted=false,LastModifiedDate=null,LastModifiedUserId=null},</v>
      </c>
    </row>
    <row r="51" spans="1:28" ht="19.5" x14ac:dyDescent="0.5">
      <c r="A51" s="1" t="str">
        <f t="shared" si="0"/>
        <v>244,</v>
      </c>
      <c r="B51" s="1" t="s">
        <v>453</v>
      </c>
      <c r="C51" s="1" t="s">
        <v>469</v>
      </c>
      <c r="D51" s="1" t="s">
        <v>256</v>
      </c>
      <c r="E51" s="1" t="str">
        <f ca="1">"new DateTime (" &amp; $C$1&amp;"),"</f>
        <v>new DateTime (2026,3,25,4,26,24),</v>
      </c>
      <c r="F51" s="1" t="str">
        <f>"null,"</f>
        <v>null,</v>
      </c>
      <c r="G51" s="1" t="s">
        <v>207</v>
      </c>
      <c r="H51" s="1" t="str">
        <f>"true,"</f>
        <v>true,</v>
      </c>
      <c r="I51" s="1" t="str">
        <f>"false,"</f>
        <v>false,</v>
      </c>
      <c r="J51" s="1" t="str">
        <f>"null,"</f>
        <v>null,</v>
      </c>
      <c r="K51" s="1" t="str">
        <f>"null"</f>
        <v>null</v>
      </c>
      <c r="L51" s="6"/>
      <c r="M51" s="10" t="str">
        <f>_xlfn.TEXTJOIN("=",FALSE,A$2,A51)</f>
        <v>Id=244,</v>
      </c>
      <c r="N51" s="10" t="str">
        <f>_xlfn.TEXTJOIN("=",FALSE,B$2,B51)</f>
        <v>Title="ساسکاچوان",</v>
      </c>
      <c r="O51" s="10" t="str">
        <f>_xlfn.TEXTJOIN("=",FALSE,C$2,C51)</f>
        <v>ParentId=127,</v>
      </c>
      <c r="P51" s="10" t="str">
        <f>_xlfn.TEXTJOIN("=",FALSE,D$2,D51)</f>
        <v>Guid=Guid.Parse("C5983511-8F11-49E8-9178-3A20301FC3D9"),</v>
      </c>
      <c r="Q51" s="10" t="str">
        <f t="shared" ca="1" si="5"/>
        <v>CreatedDate=new DateTime (2026,3,25,4,26,24),</v>
      </c>
      <c r="R51" s="10" t="str">
        <f t="shared" si="5"/>
        <v>CreatedUserId=null,</v>
      </c>
      <c r="S51" s="10" t="str">
        <f t="shared" si="5"/>
        <v>Description= "Created by seeding data",</v>
      </c>
      <c r="T51" s="10" t="str">
        <f t="shared" si="4"/>
        <v>IsActive=true,</v>
      </c>
      <c r="U51" s="10" t="str">
        <f t="shared" si="4"/>
        <v>IsDeleted=false,</v>
      </c>
      <c r="V51" s="10" t="str">
        <f t="shared" si="4"/>
        <v>LastModifiedDate=null,</v>
      </c>
      <c r="W51" s="10" t="str">
        <f t="shared" si="4"/>
        <v>LastModifiedUserId=null</v>
      </c>
      <c r="X51" s="9" t="str">
        <f t="shared" ca="1" si="2"/>
        <v>Id=244,Title="ساسکاچوان",ParentId=127,Guid=Guid.Parse("C5983511-8F11-49E8-9178-3A20301FC3D9"),CreatedDate=new DateTime (2026,3,25,4,26,24),CreatedUserId=null,Description= "Created by seeding data",IsActive=true,IsDeleted=false,LastModifiedDate=null,LastModifiedUserId=null</v>
      </c>
      <c r="Y51" s="9" t="str">
        <f t="shared" ca="1" si="3"/>
        <v>new State{Id=244,Title="ساسکاچوان",ParentId=127,Guid=Guid.Parse("C5983511-8F11-49E8-9178-3A20301FC3D9"),CreatedDate=new DateTime (2026,3,25,4,26,24),CreatedUserId=null,Description= "Created by seeding data",IsActive=true,IsDeleted=false,LastModifiedDate=null,LastModifiedUserId=null},</v>
      </c>
    </row>
    <row r="52" spans="1:28" ht="19.5" x14ac:dyDescent="0.5">
      <c r="A52" s="1" t="str">
        <f t="shared" si="0"/>
        <v>245,</v>
      </c>
      <c r="B52" s="1" t="s">
        <v>454</v>
      </c>
      <c r="C52" s="1" t="s">
        <v>469</v>
      </c>
      <c r="D52" s="1" t="s">
        <v>257</v>
      </c>
      <c r="E52" s="1" t="str">
        <f ca="1">"new DateTime (" &amp; $C$1&amp;"),"</f>
        <v>new DateTime (2026,3,25,4,26,24),</v>
      </c>
      <c r="F52" s="1" t="str">
        <f>"null,"</f>
        <v>null,</v>
      </c>
      <c r="G52" s="1" t="s">
        <v>207</v>
      </c>
      <c r="H52" s="1" t="str">
        <f>"true,"</f>
        <v>true,</v>
      </c>
      <c r="I52" s="1" t="str">
        <f>"false,"</f>
        <v>false,</v>
      </c>
      <c r="J52" s="1" t="str">
        <f>"null,"</f>
        <v>null,</v>
      </c>
      <c r="K52" s="1" t="str">
        <f>"null"</f>
        <v>null</v>
      </c>
      <c r="L52" s="6"/>
      <c r="M52" s="10" t="str">
        <f>_xlfn.TEXTJOIN("=",FALSE,A$2,A52)</f>
        <v>Id=245,</v>
      </c>
      <c r="N52" s="10" t="str">
        <f>_xlfn.TEXTJOIN("=",FALSE,B$2,B52)</f>
        <v>Title="کبک",</v>
      </c>
      <c r="O52" s="10" t="str">
        <f>_xlfn.TEXTJOIN("=",FALSE,C$2,C52)</f>
        <v>ParentId=127,</v>
      </c>
      <c r="P52" s="10" t="str">
        <f>_xlfn.TEXTJOIN("=",FALSE,D$2,D52)</f>
        <v>Guid=Guid.Parse("FD8F07C4-4E44-4D05-9BDE-261217EF4E5D"),</v>
      </c>
      <c r="Q52" s="10" t="str">
        <f t="shared" ca="1" si="5"/>
        <v>CreatedDate=new DateTime (2026,3,25,4,26,24),</v>
      </c>
      <c r="R52" s="10" t="str">
        <f t="shared" si="5"/>
        <v>CreatedUserId=null,</v>
      </c>
      <c r="S52" s="10" t="str">
        <f t="shared" si="5"/>
        <v>Description= "Created by seeding data",</v>
      </c>
      <c r="T52" s="10" t="str">
        <f t="shared" si="4"/>
        <v>IsActive=true,</v>
      </c>
      <c r="U52" s="10" t="str">
        <f t="shared" si="4"/>
        <v>IsDeleted=false,</v>
      </c>
      <c r="V52" s="10" t="str">
        <f t="shared" si="4"/>
        <v>LastModifiedDate=null,</v>
      </c>
      <c r="W52" s="10" t="str">
        <f t="shared" si="4"/>
        <v>LastModifiedUserId=null</v>
      </c>
      <c r="X52" s="9" t="str">
        <f t="shared" ca="1" si="2"/>
        <v>Id=245,Title="کبک",ParentId=127,Guid=Guid.Parse("FD8F07C4-4E44-4D05-9BDE-261217EF4E5D"),CreatedDate=new DateTime (2026,3,25,4,26,24),CreatedUserId=null,Description= "Created by seeding data",IsActive=true,IsDeleted=false,LastModifiedDate=null,LastModifiedUserId=null</v>
      </c>
      <c r="Y52" s="9" t="str">
        <f t="shared" ca="1" si="3"/>
        <v>new State{Id=245,Title="کبک",ParentId=127,Guid=Guid.Parse("FD8F07C4-4E44-4D05-9BDE-261217EF4E5D"),CreatedDate=new DateTime (2026,3,25,4,26,24),CreatedUserId=null,Description= "Created by seeding data",IsActive=true,IsDeleted=false,LastModifiedDate=null,LastModifiedUserId=null},</v>
      </c>
      <c r="AB52" s="8"/>
    </row>
    <row r="53" spans="1:28" ht="19.5" x14ac:dyDescent="0.5">
      <c r="A53" s="1" t="str">
        <f t="shared" si="0"/>
        <v>246,</v>
      </c>
      <c r="B53" s="1" t="s">
        <v>455</v>
      </c>
      <c r="C53" s="1" t="s">
        <v>469</v>
      </c>
      <c r="D53" s="1" t="s">
        <v>258</v>
      </c>
      <c r="E53" s="1" t="str">
        <f ca="1">"new DateTime (" &amp; $C$1&amp;"),"</f>
        <v>new DateTime (2026,3,25,4,26,24),</v>
      </c>
      <c r="F53" s="1" t="str">
        <f>"null,"</f>
        <v>null,</v>
      </c>
      <c r="G53" s="1" t="s">
        <v>207</v>
      </c>
      <c r="H53" s="1" t="str">
        <f>"true,"</f>
        <v>true,</v>
      </c>
      <c r="I53" s="1" t="str">
        <f>"false,"</f>
        <v>false,</v>
      </c>
      <c r="J53" s="1" t="str">
        <f>"null,"</f>
        <v>null,</v>
      </c>
      <c r="K53" s="1" t="str">
        <f>"null"</f>
        <v>null</v>
      </c>
      <c r="L53" s="6"/>
      <c r="M53" s="10" t="str">
        <f>_xlfn.TEXTJOIN("=",FALSE,A$2,A53)</f>
        <v>Id=246,</v>
      </c>
      <c r="N53" s="10" t="str">
        <f>_xlfn.TEXTJOIN("=",FALSE,B$2,B53)</f>
        <v>Title="مانیتوبا",</v>
      </c>
      <c r="O53" s="10" t="str">
        <f>_xlfn.TEXTJOIN("=",FALSE,C$2,C53)</f>
        <v>ParentId=127,</v>
      </c>
      <c r="P53" s="10" t="str">
        <f>_xlfn.TEXTJOIN("=",FALSE,D$2,D53)</f>
        <v>Guid=Guid.Parse("CF0BCA8D-8E40-4DC2-A942-98E820630AFB"),</v>
      </c>
      <c r="Q53" s="10" t="str">
        <f t="shared" ca="1" si="5"/>
        <v>CreatedDate=new DateTime (2026,3,25,4,26,24),</v>
      </c>
      <c r="R53" s="10" t="str">
        <f t="shared" si="5"/>
        <v>CreatedUserId=null,</v>
      </c>
      <c r="S53" s="10" t="str">
        <f t="shared" si="5"/>
        <v>Description= "Created by seeding data",</v>
      </c>
      <c r="T53" s="10" t="str">
        <f t="shared" si="4"/>
        <v>IsActive=true,</v>
      </c>
      <c r="U53" s="10" t="str">
        <f t="shared" si="4"/>
        <v>IsDeleted=false,</v>
      </c>
      <c r="V53" s="10" t="str">
        <f t="shared" si="4"/>
        <v>LastModifiedDate=null,</v>
      </c>
      <c r="W53" s="10" t="str">
        <f t="shared" si="4"/>
        <v>LastModifiedUserId=null</v>
      </c>
      <c r="X53" s="9" t="str">
        <f t="shared" ca="1" si="2"/>
        <v>Id=246,Title="مانیتوبا",ParentId=127,Guid=Guid.Parse("CF0BCA8D-8E40-4DC2-A942-98E820630AFB"),CreatedDate=new DateTime (2026,3,25,4,26,24),CreatedUserId=null,Description= "Created by seeding data",IsActive=true,IsDeleted=false,LastModifiedDate=null,LastModifiedUserId=null</v>
      </c>
      <c r="Y53" s="9" t="str">
        <f t="shared" ca="1" si="3"/>
        <v>new State{Id=246,Title="مانیتوبا",ParentId=127,Guid=Guid.Parse("CF0BCA8D-8E40-4DC2-A942-98E820630AFB"),CreatedDate=new DateTime (2026,3,25,4,26,24),CreatedUserId=null,Description= "Created by seeding data",IsActive=true,IsDeleted=false,LastModifiedDate=null,LastModifiedUserId=null},</v>
      </c>
    </row>
    <row r="54" spans="1:28" ht="19.5" x14ac:dyDescent="0.5">
      <c r="A54" s="1" t="str">
        <f t="shared" si="0"/>
        <v>247,</v>
      </c>
      <c r="B54" s="1" t="s">
        <v>456</v>
      </c>
      <c r="C54" s="1" t="s">
        <v>469</v>
      </c>
      <c r="D54" s="1" t="s">
        <v>259</v>
      </c>
      <c r="E54" s="1" t="str">
        <f ca="1">"new DateTime (" &amp; $C$1&amp;"),"</f>
        <v>new DateTime (2026,3,25,4,26,24),</v>
      </c>
      <c r="F54" s="1" t="str">
        <f>"null,"</f>
        <v>null,</v>
      </c>
      <c r="G54" s="1" t="s">
        <v>207</v>
      </c>
      <c r="H54" s="1" t="str">
        <f>"true,"</f>
        <v>true,</v>
      </c>
      <c r="I54" s="1" t="str">
        <f>"false,"</f>
        <v>false,</v>
      </c>
      <c r="J54" s="1" t="str">
        <f>"null,"</f>
        <v>null,</v>
      </c>
      <c r="K54" s="1" t="str">
        <f>"null"</f>
        <v>null</v>
      </c>
      <c r="L54" s="6"/>
      <c r="M54" s="10" t="str">
        <f>_xlfn.TEXTJOIN("=",FALSE,A$2,A54)</f>
        <v>Id=247,</v>
      </c>
      <c r="N54" s="10" t="str">
        <f>_xlfn.TEXTJOIN("=",FALSE,B$2,B54)</f>
        <v>Title="نوا اسکوشیا",</v>
      </c>
      <c r="O54" s="10" t="str">
        <f>_xlfn.TEXTJOIN("=",FALSE,C$2,C54)</f>
        <v>ParentId=127,</v>
      </c>
      <c r="P54" s="10" t="str">
        <f>_xlfn.TEXTJOIN("=",FALSE,D$2,D54)</f>
        <v>Guid=Guid.Parse("F5396C20-3743-478D-B17C-D82F07FCA587"),</v>
      </c>
      <c r="Q54" s="10" t="str">
        <f t="shared" ca="1" si="5"/>
        <v>CreatedDate=new DateTime (2026,3,25,4,26,24),</v>
      </c>
      <c r="R54" s="10" t="str">
        <f t="shared" si="5"/>
        <v>CreatedUserId=null,</v>
      </c>
      <c r="S54" s="10" t="str">
        <f t="shared" si="5"/>
        <v>Description= "Created by seeding data",</v>
      </c>
      <c r="T54" s="10" t="str">
        <f t="shared" si="4"/>
        <v>IsActive=true,</v>
      </c>
      <c r="U54" s="10" t="str">
        <f t="shared" si="4"/>
        <v>IsDeleted=false,</v>
      </c>
      <c r="V54" s="10" t="str">
        <f t="shared" si="4"/>
        <v>LastModifiedDate=null,</v>
      </c>
      <c r="W54" s="10" t="str">
        <f t="shared" si="4"/>
        <v>LastModifiedUserId=null</v>
      </c>
      <c r="X54" s="9" t="str">
        <f t="shared" ca="1" si="2"/>
        <v>Id=247,Title="نوا اسکوشیا",ParentId=127,Guid=Guid.Parse("F5396C20-3743-478D-B17C-D82F07FCA587"),CreatedDate=new DateTime (2026,3,25,4,26,24),CreatedUserId=null,Description= "Created by seeding data",IsActive=true,IsDeleted=false,LastModifiedDate=null,LastModifiedUserId=null</v>
      </c>
      <c r="Y54" s="9" t="str">
        <f t="shared" ca="1" si="3"/>
        <v>new State{Id=247,Title="نوا اسکوشیا",ParentId=127,Guid=Guid.Parse("F5396C20-3743-478D-B17C-D82F07FCA587"),CreatedDate=new DateTime (2026,3,25,4,26,24),CreatedUserId=null,Description= "Created by seeding data",IsActive=true,IsDeleted=false,LastModifiedDate=null,LastModifiedUserId=null},</v>
      </c>
    </row>
    <row r="55" spans="1:28" ht="19.5" x14ac:dyDescent="0.5">
      <c r="A55" s="1" t="str">
        <f t="shared" si="0"/>
        <v>248,</v>
      </c>
      <c r="B55" s="1" t="s">
        <v>457</v>
      </c>
      <c r="C55" s="1" t="s">
        <v>469</v>
      </c>
      <c r="D55" s="1" t="s">
        <v>260</v>
      </c>
      <c r="E55" s="1" t="str">
        <f ca="1">"new DateTime (" &amp; $C$1&amp;"),"</f>
        <v>new DateTime (2026,3,25,4,26,24),</v>
      </c>
      <c r="F55" s="1" t="str">
        <f>"null,"</f>
        <v>null,</v>
      </c>
      <c r="G55" s="1" t="s">
        <v>207</v>
      </c>
      <c r="H55" s="1" t="str">
        <f>"true,"</f>
        <v>true,</v>
      </c>
      <c r="I55" s="1" t="str">
        <f>"false,"</f>
        <v>false,</v>
      </c>
      <c r="J55" s="1" t="str">
        <f>"null,"</f>
        <v>null,</v>
      </c>
      <c r="K55" s="1" t="str">
        <f>"null"</f>
        <v>null</v>
      </c>
      <c r="L55" s="6"/>
      <c r="M55" s="10" t="str">
        <f>_xlfn.TEXTJOIN("=",FALSE,A$2,A55)</f>
        <v>Id=248,</v>
      </c>
      <c r="N55" s="10" t="str">
        <f>_xlfn.TEXTJOIN("=",FALSE,B$2,B55)</f>
        <v>Title="نیوبرانزویک",</v>
      </c>
      <c r="O55" s="10" t="str">
        <f>_xlfn.TEXTJOIN("=",FALSE,C$2,C55)</f>
        <v>ParentId=127,</v>
      </c>
      <c r="P55" s="10" t="str">
        <f>_xlfn.TEXTJOIN("=",FALSE,D$2,D55)</f>
        <v>Guid=Guid.Parse("69BA38F9-903A-49EC-B928-8B41DC10B474"),</v>
      </c>
      <c r="Q55" s="10" t="str">
        <f t="shared" ca="1" si="5"/>
        <v>CreatedDate=new DateTime (2026,3,25,4,26,24),</v>
      </c>
      <c r="R55" s="10" t="str">
        <f t="shared" si="5"/>
        <v>CreatedUserId=null,</v>
      </c>
      <c r="S55" s="10" t="str">
        <f t="shared" si="5"/>
        <v>Description= "Created by seeding data",</v>
      </c>
      <c r="T55" s="10" t="str">
        <f t="shared" si="4"/>
        <v>IsActive=true,</v>
      </c>
      <c r="U55" s="10" t="str">
        <f t="shared" si="4"/>
        <v>IsDeleted=false,</v>
      </c>
      <c r="V55" s="10" t="str">
        <f t="shared" si="4"/>
        <v>LastModifiedDate=null,</v>
      </c>
      <c r="W55" s="10" t="str">
        <f t="shared" si="4"/>
        <v>LastModifiedUserId=null</v>
      </c>
      <c r="X55" s="9" t="str">
        <f t="shared" ca="1" si="2"/>
        <v>Id=248,Title="نیوبرانزویک",ParentId=127,Guid=Guid.Parse("69BA38F9-903A-49EC-B928-8B41DC10B474"),CreatedDate=new DateTime (2026,3,25,4,26,24),CreatedUserId=null,Description= "Created by seeding data",IsActive=true,IsDeleted=false,LastModifiedDate=null,LastModifiedUserId=null</v>
      </c>
      <c r="Y55" s="9" t="str">
        <f t="shared" ca="1" si="3"/>
        <v>new State{Id=248,Title="نیوبرانزویک",ParentId=127,Guid=Guid.Parse("69BA38F9-903A-49EC-B928-8B41DC10B474"),CreatedDate=new DateTime (2026,3,25,4,26,24),CreatedUserId=null,Description= "Created by seeding data",IsActive=true,IsDeleted=false,LastModifiedDate=null,LastModifiedUserId=null},</v>
      </c>
    </row>
    <row r="56" spans="1:28" ht="19.5" x14ac:dyDescent="0.5">
      <c r="A56" s="1" t="str">
        <f t="shared" si="0"/>
        <v>249,</v>
      </c>
      <c r="B56" s="1" t="s">
        <v>458</v>
      </c>
      <c r="C56" s="1" t="s">
        <v>469</v>
      </c>
      <c r="D56" s="1" t="s">
        <v>261</v>
      </c>
      <c r="E56" s="1" t="str">
        <f ca="1">"new DateTime (" &amp; $C$1&amp;"),"</f>
        <v>new DateTime (2026,3,25,4,26,24),</v>
      </c>
      <c r="F56" s="1" t="str">
        <f>"null,"</f>
        <v>null,</v>
      </c>
      <c r="G56" s="1" t="s">
        <v>207</v>
      </c>
      <c r="H56" s="1" t="str">
        <f>"true,"</f>
        <v>true,</v>
      </c>
      <c r="I56" s="1" t="str">
        <f>"false,"</f>
        <v>false,</v>
      </c>
      <c r="J56" s="1" t="str">
        <f>"null,"</f>
        <v>null,</v>
      </c>
      <c r="K56" s="1" t="str">
        <f>"null"</f>
        <v>null</v>
      </c>
      <c r="L56" s="6"/>
      <c r="M56" s="10" t="str">
        <f>_xlfn.TEXTJOIN("=",FALSE,A$2,A56)</f>
        <v>Id=249,</v>
      </c>
      <c r="N56" s="10" t="str">
        <f>_xlfn.TEXTJOIN("=",FALSE,B$2,B56)</f>
        <v>Title="نیوفاندلند و لابرادور",</v>
      </c>
      <c r="O56" s="10" t="str">
        <f>_xlfn.TEXTJOIN("=",FALSE,C$2,C56)</f>
        <v>ParentId=127,</v>
      </c>
      <c r="P56" s="10" t="str">
        <f>_xlfn.TEXTJOIN("=",FALSE,D$2,D56)</f>
        <v>Guid=Guid.Parse("0EF730EC-93A9-46DC-8AC0-30E6033062DF"),</v>
      </c>
      <c r="Q56" s="10" t="str">
        <f t="shared" ca="1" si="5"/>
        <v>CreatedDate=new DateTime (2026,3,25,4,26,24),</v>
      </c>
      <c r="R56" s="10" t="str">
        <f t="shared" si="5"/>
        <v>CreatedUserId=null,</v>
      </c>
      <c r="S56" s="10" t="str">
        <f t="shared" si="5"/>
        <v>Description= "Created by seeding data",</v>
      </c>
      <c r="T56" s="10" t="str">
        <f t="shared" si="4"/>
        <v>IsActive=true,</v>
      </c>
      <c r="U56" s="10" t="str">
        <f t="shared" si="4"/>
        <v>IsDeleted=false,</v>
      </c>
      <c r="V56" s="10" t="str">
        <f t="shared" si="4"/>
        <v>LastModifiedDate=null,</v>
      </c>
      <c r="W56" s="10" t="str">
        <f t="shared" si="4"/>
        <v>LastModifiedUserId=null</v>
      </c>
      <c r="X56" s="9" t="str">
        <f t="shared" ca="1" si="2"/>
        <v>Id=249,Title="نیوفاندلند و لابرادور",ParentId=127,Guid=Guid.Parse("0EF730EC-93A9-46DC-8AC0-30E6033062DF"),CreatedDate=new DateTime (2026,3,25,4,26,24),CreatedUserId=null,Description= "Created by seeding data",IsActive=true,IsDeleted=false,LastModifiedDate=null,LastModifiedUserId=null</v>
      </c>
      <c r="Y56" s="9" t="str">
        <f t="shared" ca="1" si="3"/>
        <v>new State{Id=249,Title="نیوفاندلند و لابرادور",ParentId=127,Guid=Guid.Parse("0EF730EC-93A9-46DC-8AC0-30E6033062DF"),CreatedDate=new DateTime (2026,3,25,4,26,24),CreatedUserId=null,Description= "Created by seeding data",IsActive=true,IsDeleted=false,LastModifiedDate=null,LastModifiedUserId=null},</v>
      </c>
    </row>
    <row r="57" spans="1:28" ht="19.5" x14ac:dyDescent="0.5">
      <c r="A57" s="1" t="str">
        <f t="shared" si="0"/>
        <v>250,</v>
      </c>
      <c r="B57" s="1" t="s">
        <v>459</v>
      </c>
      <c r="C57" s="1" t="s">
        <v>468</v>
      </c>
      <c r="D57" s="1" t="s">
        <v>262</v>
      </c>
      <c r="E57" s="1" t="str">
        <f ca="1">"new DateTime (" &amp; $C$1&amp;"),"</f>
        <v>new DateTime (2026,3,25,4,26,24),</v>
      </c>
      <c r="F57" s="1" t="str">
        <f>"null,"</f>
        <v>null,</v>
      </c>
      <c r="G57" s="1" t="s">
        <v>207</v>
      </c>
      <c r="H57" s="1" t="str">
        <f>"true,"</f>
        <v>true,</v>
      </c>
      <c r="I57" s="1" t="str">
        <f>"false,"</f>
        <v>false,</v>
      </c>
      <c r="J57" s="1" t="str">
        <f>"null,"</f>
        <v>null,</v>
      </c>
      <c r="K57" s="1" t="str">
        <f>"null"</f>
        <v>null</v>
      </c>
      <c r="L57" s="6"/>
      <c r="M57" s="10" t="str">
        <f>_xlfn.TEXTJOIN("=",FALSE,A$2,A57)</f>
        <v>Id=250,</v>
      </c>
      <c r="N57" s="10" t="str">
        <f>_xlfn.TEXTJOIN("=",FALSE,B$2,B57)</f>
        <v>Title="بادن-وورتمبرگ",</v>
      </c>
      <c r="O57" s="10" t="str">
        <f>_xlfn.TEXTJOIN("=",FALSE,C$2,C57)</f>
        <v>ParentId=32,</v>
      </c>
      <c r="P57" s="10" t="str">
        <f>_xlfn.TEXTJOIN("=",FALSE,D$2,D57)</f>
        <v>Guid=Guid.Parse("B8AC1FF0-C692-4282-9F13-94629CAFDABF"),</v>
      </c>
      <c r="Q57" s="10" t="str">
        <f t="shared" ca="1" si="5"/>
        <v>CreatedDate=new DateTime (2026,3,25,4,26,24),</v>
      </c>
      <c r="R57" s="10" t="str">
        <f t="shared" si="5"/>
        <v>CreatedUserId=null,</v>
      </c>
      <c r="S57" s="10" t="str">
        <f t="shared" si="5"/>
        <v>Description= "Created by seeding data",</v>
      </c>
      <c r="T57" s="10" t="str">
        <f t="shared" si="4"/>
        <v>IsActive=true,</v>
      </c>
      <c r="U57" s="10" t="str">
        <f t="shared" si="4"/>
        <v>IsDeleted=false,</v>
      </c>
      <c r="V57" s="10" t="str">
        <f t="shared" si="4"/>
        <v>LastModifiedDate=null,</v>
      </c>
      <c r="W57" s="10" t="str">
        <f t="shared" si="4"/>
        <v>LastModifiedUserId=null</v>
      </c>
      <c r="X57" s="9" t="str">
        <f t="shared" ca="1" si="2"/>
        <v>Id=250,Title="بادن-وورتمبرگ",ParentId=32,Guid=Guid.Parse("B8AC1FF0-C692-4282-9F13-94629CAFDABF"),CreatedDate=new DateTime (2026,3,25,4,26,24),CreatedUserId=null,Description= "Created by seeding data",IsActive=true,IsDeleted=false,LastModifiedDate=null,LastModifiedUserId=null</v>
      </c>
      <c r="Y57" s="9" t="str">
        <f t="shared" ca="1" si="3"/>
        <v>new State{Id=250,Title="بادن-وورتمبرگ",ParentId=32,Guid=Guid.Parse("B8AC1FF0-C692-4282-9F13-94629CAFDABF"),CreatedDate=new DateTime (2026,3,25,4,26,24),CreatedUserId=null,Description= "Created by seeding data",IsActive=true,IsDeleted=false,LastModifiedDate=null,LastModifiedUserId=null},</v>
      </c>
    </row>
    <row r="58" spans="1:28" ht="19.5" x14ac:dyDescent="0.5">
      <c r="A58" s="1" t="str">
        <f t="shared" si="0"/>
        <v>251,</v>
      </c>
      <c r="B58" s="1" t="s">
        <v>460</v>
      </c>
      <c r="C58" s="1" t="s">
        <v>468</v>
      </c>
      <c r="D58" s="1" t="s">
        <v>263</v>
      </c>
      <c r="E58" s="1" t="str">
        <f ca="1">"new DateTime (" &amp; $C$1&amp;"),"</f>
        <v>new DateTime (2026,3,25,4,26,24),</v>
      </c>
      <c r="F58" s="1" t="str">
        <f>"null,"</f>
        <v>null,</v>
      </c>
      <c r="G58" s="1" t="s">
        <v>207</v>
      </c>
      <c r="H58" s="1" t="str">
        <f>"true,"</f>
        <v>true,</v>
      </c>
      <c r="I58" s="1" t="str">
        <f>"false,"</f>
        <v>false,</v>
      </c>
      <c r="J58" s="1" t="str">
        <f>"null,"</f>
        <v>null,</v>
      </c>
      <c r="K58" s="1" t="str">
        <f>"null"</f>
        <v>null</v>
      </c>
      <c r="L58" s="6"/>
      <c r="M58" s="10" t="str">
        <f>_xlfn.TEXTJOIN("=",FALSE,A$2,A58)</f>
        <v>Id=251,</v>
      </c>
      <c r="N58" s="10" t="str">
        <f>_xlfn.TEXTJOIN("=",FALSE,B$2,B58)</f>
        <v>Title="براندنبورگ",</v>
      </c>
      <c r="O58" s="10" t="str">
        <f>_xlfn.TEXTJOIN("=",FALSE,C$2,C58)</f>
        <v>ParentId=32,</v>
      </c>
      <c r="P58" s="10" t="str">
        <f>_xlfn.TEXTJOIN("=",FALSE,D$2,D58)</f>
        <v>Guid=Guid.Parse("E172A0CC-CBE3-4720-9C00-4AE61BDC7824"),</v>
      </c>
      <c r="Q58" s="10" t="str">
        <f t="shared" ca="1" si="5"/>
        <v>CreatedDate=new DateTime (2026,3,25,4,26,24),</v>
      </c>
      <c r="R58" s="10" t="str">
        <f t="shared" si="5"/>
        <v>CreatedUserId=null,</v>
      </c>
      <c r="S58" s="10" t="str">
        <f t="shared" si="5"/>
        <v>Description= "Created by seeding data",</v>
      </c>
      <c r="T58" s="10" t="str">
        <f t="shared" si="4"/>
        <v>IsActive=true,</v>
      </c>
      <c r="U58" s="10" t="str">
        <f t="shared" si="4"/>
        <v>IsDeleted=false,</v>
      </c>
      <c r="V58" s="10" t="str">
        <f t="shared" si="4"/>
        <v>LastModifiedDate=null,</v>
      </c>
      <c r="W58" s="10" t="str">
        <f t="shared" si="4"/>
        <v>LastModifiedUserId=null</v>
      </c>
      <c r="X58" s="9" t="str">
        <f t="shared" ca="1" si="2"/>
        <v>Id=251,Title="براندنبورگ",ParentId=32,Guid=Guid.Parse("E172A0CC-CBE3-4720-9C00-4AE61BDC7824"),CreatedDate=new DateTime (2026,3,25,4,26,24),CreatedUserId=null,Description= "Created by seeding data",IsActive=true,IsDeleted=false,LastModifiedDate=null,LastModifiedUserId=null</v>
      </c>
      <c r="Y58" s="9" t="str">
        <f t="shared" ca="1" si="3"/>
        <v>new State{Id=251,Title="براندنبورگ",ParentId=32,Guid=Guid.Parse("E172A0CC-CBE3-4720-9C00-4AE61BDC7824"),CreatedDate=new DateTime (2026,3,25,4,26,24),CreatedUserId=null,Description= "Created by seeding data",IsActive=true,IsDeleted=false,LastModifiedDate=null,LastModifiedUserId=null},</v>
      </c>
    </row>
    <row r="59" spans="1:28" ht="19.5" x14ac:dyDescent="0.5">
      <c r="A59" s="1" t="str">
        <f t="shared" si="0"/>
        <v>252,</v>
      </c>
      <c r="B59" s="1" t="s">
        <v>461</v>
      </c>
      <c r="C59" s="1" t="s">
        <v>468</v>
      </c>
      <c r="D59" s="1" t="s">
        <v>264</v>
      </c>
      <c r="E59" s="1" t="str">
        <f ca="1">"new DateTime (" &amp; $C$1&amp;"),"</f>
        <v>new DateTime (2026,3,25,4,26,24),</v>
      </c>
      <c r="F59" s="1" t="str">
        <f>"null,"</f>
        <v>null,</v>
      </c>
      <c r="G59" s="1" t="s">
        <v>207</v>
      </c>
      <c r="H59" s="1" t="str">
        <f>"true,"</f>
        <v>true,</v>
      </c>
      <c r="I59" s="1" t="str">
        <f>"false,"</f>
        <v>false,</v>
      </c>
      <c r="J59" s="1" t="str">
        <f>"null,"</f>
        <v>null,</v>
      </c>
      <c r="K59" s="1" t="str">
        <f>"null"</f>
        <v>null</v>
      </c>
      <c r="L59" s="6"/>
      <c r="M59" s="10" t="str">
        <f>_xlfn.TEXTJOIN("=",FALSE,A$2,A59)</f>
        <v>Id=252,</v>
      </c>
      <c r="N59" s="10" t="str">
        <f>_xlfn.TEXTJOIN("=",FALSE,B$2,B59)</f>
        <v>Title="برلین",</v>
      </c>
      <c r="O59" s="10" t="str">
        <f>_xlfn.TEXTJOIN("=",FALSE,C$2,C59)</f>
        <v>ParentId=32,</v>
      </c>
      <c r="P59" s="10" t="str">
        <f>_xlfn.TEXTJOIN("=",FALSE,D$2,D59)</f>
        <v>Guid=Guid.Parse("E4BDE8DD-6AC8-417C-809F-458DE1A157EF"),</v>
      </c>
      <c r="Q59" s="10" t="str">
        <f t="shared" ca="1" si="5"/>
        <v>CreatedDate=new DateTime (2026,3,25,4,26,24),</v>
      </c>
      <c r="R59" s="10" t="str">
        <f t="shared" si="5"/>
        <v>CreatedUserId=null,</v>
      </c>
      <c r="S59" s="10" t="str">
        <f t="shared" si="5"/>
        <v>Description= "Created by seeding data",</v>
      </c>
      <c r="T59" s="10" t="str">
        <f t="shared" si="4"/>
        <v>IsActive=true,</v>
      </c>
      <c r="U59" s="10" t="str">
        <f t="shared" si="4"/>
        <v>IsDeleted=false,</v>
      </c>
      <c r="V59" s="10" t="str">
        <f t="shared" si="4"/>
        <v>LastModifiedDate=null,</v>
      </c>
      <c r="W59" s="10" t="str">
        <f t="shared" si="4"/>
        <v>LastModifiedUserId=null</v>
      </c>
      <c r="X59" s="9" t="str">
        <f t="shared" ca="1" si="2"/>
        <v>Id=252,Title="برلین",ParentId=32,Guid=Guid.Parse("E4BDE8DD-6AC8-417C-809F-458DE1A157EF"),CreatedDate=new DateTime (2026,3,25,4,26,24),CreatedUserId=null,Description= "Created by seeding data",IsActive=true,IsDeleted=false,LastModifiedDate=null,LastModifiedUserId=null</v>
      </c>
      <c r="Y59" s="9" t="str">
        <f t="shared" ca="1" si="3"/>
        <v>new State{Id=252,Title="برلین",ParentId=32,Guid=Guid.Parse("E4BDE8DD-6AC8-417C-809F-458DE1A157EF"),CreatedDate=new DateTime (2026,3,25,4,26,24),CreatedUserId=null,Description= "Created by seeding data",IsActive=true,IsDeleted=false,LastModifiedDate=null,LastModifiedUserId=null},</v>
      </c>
    </row>
    <row r="60" spans="1:28" ht="19.5" x14ac:dyDescent="0.5">
      <c r="A60" s="1" t="str">
        <f t="shared" si="0"/>
        <v>253,</v>
      </c>
      <c r="B60" s="1" t="s">
        <v>462</v>
      </c>
      <c r="C60" s="1" t="s">
        <v>468</v>
      </c>
      <c r="D60" s="1" t="s">
        <v>265</v>
      </c>
      <c r="E60" s="1" t="str">
        <f ca="1">"new DateTime (" &amp; $C$1&amp;"),"</f>
        <v>new DateTime (2026,3,25,4,26,24),</v>
      </c>
      <c r="F60" s="1" t="str">
        <f>"null,"</f>
        <v>null,</v>
      </c>
      <c r="G60" s="1" t="s">
        <v>207</v>
      </c>
      <c r="H60" s="1" t="str">
        <f>"true,"</f>
        <v>true,</v>
      </c>
      <c r="I60" s="1" t="str">
        <f>"false,"</f>
        <v>false,</v>
      </c>
      <c r="J60" s="1" t="str">
        <f>"null,"</f>
        <v>null,</v>
      </c>
      <c r="K60" s="1" t="str">
        <f>"null"</f>
        <v>null</v>
      </c>
      <c r="L60" s="6"/>
      <c r="M60" s="10" t="str">
        <f>_xlfn.TEXTJOIN("=",FALSE,A$2,A60)</f>
        <v>Id=253,</v>
      </c>
      <c r="N60" s="10" t="str">
        <f>_xlfn.TEXTJOIN("=",FALSE,B$2,B60)</f>
        <v>Title="زاکسن",</v>
      </c>
      <c r="O60" s="10" t="str">
        <f>_xlfn.TEXTJOIN("=",FALSE,C$2,C60)</f>
        <v>ParentId=32,</v>
      </c>
      <c r="P60" s="10" t="str">
        <f>_xlfn.TEXTJOIN("=",FALSE,D$2,D60)</f>
        <v>Guid=Guid.Parse("6583B2B9-B0DF-4B4F-8BA4-5307BACF9247"),</v>
      </c>
      <c r="Q60" s="10" t="str">
        <f t="shared" ca="1" si="5"/>
        <v>CreatedDate=new DateTime (2026,3,25,4,26,24),</v>
      </c>
      <c r="R60" s="10" t="str">
        <f t="shared" si="5"/>
        <v>CreatedUserId=null,</v>
      </c>
      <c r="S60" s="10" t="str">
        <f t="shared" si="5"/>
        <v>Description= "Created by seeding data",</v>
      </c>
      <c r="T60" s="10" t="str">
        <f t="shared" si="4"/>
        <v>IsActive=true,</v>
      </c>
      <c r="U60" s="10" t="str">
        <f t="shared" si="4"/>
        <v>IsDeleted=false,</v>
      </c>
      <c r="V60" s="10" t="str">
        <f t="shared" si="4"/>
        <v>LastModifiedDate=null,</v>
      </c>
      <c r="W60" s="10" t="str">
        <f t="shared" si="4"/>
        <v>LastModifiedUserId=null</v>
      </c>
      <c r="X60" s="9" t="str">
        <f t="shared" ca="1" si="2"/>
        <v>Id=253,Title="زاکسن",ParentId=32,Guid=Guid.Parse("6583B2B9-B0DF-4B4F-8BA4-5307BACF9247"),CreatedDate=new DateTime (2026,3,25,4,26,24),CreatedUserId=null,Description= "Created by seeding data",IsActive=true,IsDeleted=false,LastModifiedDate=null,LastModifiedUserId=null</v>
      </c>
      <c r="Y60" s="9" t="str">
        <f t="shared" ca="1" si="3"/>
        <v>new State{Id=253,Title="زاکسن",ParentId=32,Guid=Guid.Parse("6583B2B9-B0DF-4B4F-8BA4-5307BACF9247"),CreatedDate=new DateTime (2026,3,25,4,26,24),CreatedUserId=null,Description= "Created by seeding data",IsActive=true,IsDeleted=false,LastModifiedDate=null,LastModifiedUserId=null},</v>
      </c>
    </row>
    <row r="61" spans="1:28" ht="19.5" x14ac:dyDescent="0.5">
      <c r="A61" s="1" t="str">
        <f t="shared" si="0"/>
        <v>254,</v>
      </c>
      <c r="B61" s="1" t="s">
        <v>463</v>
      </c>
      <c r="C61" s="1" t="s">
        <v>468</v>
      </c>
      <c r="D61" s="1" t="s">
        <v>266</v>
      </c>
      <c r="E61" s="1" t="str">
        <f ca="1">"new DateTime (" &amp; $C$1&amp;"),"</f>
        <v>new DateTime (2026,3,25,4,26,24),</v>
      </c>
      <c r="F61" s="1" t="str">
        <f>"null,"</f>
        <v>null,</v>
      </c>
      <c r="G61" s="1" t="s">
        <v>207</v>
      </c>
      <c r="H61" s="1" t="str">
        <f>"true,"</f>
        <v>true,</v>
      </c>
      <c r="I61" s="1" t="str">
        <f>"false,"</f>
        <v>false,</v>
      </c>
      <c r="J61" s="1" t="str">
        <f>"null,"</f>
        <v>null,</v>
      </c>
      <c r="K61" s="1" t="str">
        <f>"null"</f>
        <v>null</v>
      </c>
      <c r="L61" s="6"/>
      <c r="M61" s="10" t="str">
        <f>_xlfn.TEXTJOIN("=",FALSE,A$2,A61)</f>
        <v>Id=254,</v>
      </c>
      <c r="N61" s="10" t="str">
        <f>_xlfn.TEXTJOIN("=",FALSE,B$2,B61)</f>
        <v>Title="شلسویگ-هولشتاین",</v>
      </c>
      <c r="O61" s="10" t="str">
        <f>_xlfn.TEXTJOIN("=",FALSE,C$2,C61)</f>
        <v>ParentId=32,</v>
      </c>
      <c r="P61" s="10" t="str">
        <f>_xlfn.TEXTJOIN("=",FALSE,D$2,D61)</f>
        <v>Guid=Guid.Parse("16AB9E30-4B32-4F2E-9068-BF5487B498A1"),</v>
      </c>
      <c r="Q61" s="10" t="str">
        <f t="shared" ca="1" si="5"/>
        <v>CreatedDate=new DateTime (2026,3,25,4,26,24),</v>
      </c>
      <c r="R61" s="10" t="str">
        <f t="shared" si="5"/>
        <v>CreatedUserId=null,</v>
      </c>
      <c r="S61" s="10" t="str">
        <f t="shared" si="5"/>
        <v>Description= "Created by seeding data",</v>
      </c>
      <c r="T61" s="10" t="str">
        <f t="shared" si="4"/>
        <v>IsActive=true,</v>
      </c>
      <c r="U61" s="10" t="str">
        <f t="shared" si="4"/>
        <v>IsDeleted=false,</v>
      </c>
      <c r="V61" s="10" t="str">
        <f t="shared" si="4"/>
        <v>LastModifiedDate=null,</v>
      </c>
      <c r="W61" s="10" t="str">
        <f t="shared" si="4"/>
        <v>LastModifiedUserId=null</v>
      </c>
      <c r="X61" s="9" t="str">
        <f t="shared" ca="1" si="2"/>
        <v>Id=254,Title="شلسویگ-هولشتاین",ParentId=32,Guid=Guid.Parse("16AB9E30-4B32-4F2E-9068-BF5487B498A1"),CreatedDate=new DateTime (2026,3,25,4,26,24),CreatedUserId=null,Description= "Created by seeding data",IsActive=true,IsDeleted=false,LastModifiedDate=null,LastModifiedUserId=null</v>
      </c>
      <c r="Y61" s="9" t="str">
        <f t="shared" ca="1" si="3"/>
        <v>new State{Id=254,Title="شلسویگ-هولشتاین",ParentId=32,Guid=Guid.Parse("16AB9E30-4B32-4F2E-9068-BF5487B498A1"),CreatedDate=new DateTime (2026,3,25,4,26,24),CreatedUserId=null,Description= "Created by seeding data",IsActive=true,IsDeleted=false,LastModifiedDate=null,LastModifiedUserId=null},</v>
      </c>
    </row>
    <row r="62" spans="1:28" ht="19.5" x14ac:dyDescent="0.5">
      <c r="A62" s="1" t="str">
        <f t="shared" si="0"/>
        <v>255,</v>
      </c>
      <c r="B62" s="1" t="s">
        <v>464</v>
      </c>
      <c r="C62" s="1" t="s">
        <v>468</v>
      </c>
      <c r="D62" s="1" t="s">
        <v>267</v>
      </c>
      <c r="E62" s="1" t="str">
        <f ca="1">"new DateTime (" &amp; $C$1&amp;"),"</f>
        <v>new DateTime (2026,3,25,4,26,24),</v>
      </c>
      <c r="F62" s="1" t="str">
        <f>"null,"</f>
        <v>null,</v>
      </c>
      <c r="G62" s="1" t="s">
        <v>207</v>
      </c>
      <c r="H62" s="1" t="str">
        <f>"true,"</f>
        <v>true,</v>
      </c>
      <c r="I62" s="1" t="str">
        <f>"false,"</f>
        <v>false,</v>
      </c>
      <c r="J62" s="1" t="str">
        <f>"null,"</f>
        <v>null,</v>
      </c>
      <c r="K62" s="1" t="str">
        <f>"null"</f>
        <v>null</v>
      </c>
      <c r="L62" s="6"/>
      <c r="M62" s="10" t="str">
        <f>_xlfn.TEXTJOIN("=",FALSE,A$2,A62)</f>
        <v>Id=255,</v>
      </c>
      <c r="N62" s="10" t="str">
        <f>_xlfn.TEXTJOIN("=",FALSE,B$2,B62)</f>
        <v>Title="نوردراین-وستفالن",</v>
      </c>
      <c r="O62" s="10" t="str">
        <f>_xlfn.TEXTJOIN("=",FALSE,C$2,C62)</f>
        <v>ParentId=32,</v>
      </c>
      <c r="P62" s="10" t="str">
        <f>_xlfn.TEXTJOIN("=",FALSE,D$2,D62)</f>
        <v>Guid=Guid.Parse("0B2E9589-D298-4F57-9EB5-5D530F3DDA6A"),</v>
      </c>
      <c r="Q62" s="10" t="str">
        <f t="shared" ca="1" si="5"/>
        <v>CreatedDate=new DateTime (2026,3,25,4,26,24),</v>
      </c>
      <c r="R62" s="10" t="str">
        <f t="shared" si="5"/>
        <v>CreatedUserId=null,</v>
      </c>
      <c r="S62" s="10" t="str">
        <f t="shared" si="5"/>
        <v>Description= "Created by seeding data",</v>
      </c>
      <c r="T62" s="10" t="str">
        <f t="shared" si="4"/>
        <v>IsActive=true,</v>
      </c>
      <c r="U62" s="10" t="str">
        <f t="shared" si="4"/>
        <v>IsDeleted=false,</v>
      </c>
      <c r="V62" s="10" t="str">
        <f t="shared" si="4"/>
        <v>LastModifiedDate=null,</v>
      </c>
      <c r="W62" s="10" t="str">
        <f t="shared" si="4"/>
        <v>LastModifiedUserId=null</v>
      </c>
      <c r="X62" s="9" t="str">
        <f t="shared" ca="1" si="2"/>
        <v>Id=255,Title="نوردراین-وستفالن",ParentId=32,Guid=Guid.Parse("0B2E9589-D298-4F57-9EB5-5D530F3DDA6A"),CreatedDate=new DateTime (2026,3,25,4,26,24),CreatedUserId=null,Description= "Created by seeding data",IsActive=true,IsDeleted=false,LastModifiedDate=null,LastModifiedUserId=null</v>
      </c>
      <c r="Y62" s="9" t="str">
        <f t="shared" ca="1" si="3"/>
        <v>new State{Id=255,Title="نوردراین-وستفالن",ParentId=32,Guid=Guid.Parse("0B2E9589-D298-4F57-9EB5-5D530F3DDA6A"),CreatedDate=new DateTime (2026,3,25,4,26,24),CreatedUserId=null,Description= "Created by seeding data",IsActive=true,IsDeleted=false,LastModifiedDate=null,LastModifiedUserId=null},</v>
      </c>
    </row>
    <row r="63" spans="1:28" ht="19.5" x14ac:dyDescent="0.5">
      <c r="A63" s="1" t="str">
        <f t="shared" si="0"/>
        <v>256,</v>
      </c>
      <c r="B63" s="1" t="s">
        <v>465</v>
      </c>
      <c r="C63" s="1" t="s">
        <v>468</v>
      </c>
      <c r="D63" s="1" t="s">
        <v>268</v>
      </c>
      <c r="E63" s="1" t="str">
        <f ca="1">"new DateTime (" &amp; $C$1&amp;"),"</f>
        <v>new DateTime (2026,3,25,4,26,24),</v>
      </c>
      <c r="F63" s="1" t="str">
        <f>"null,"</f>
        <v>null,</v>
      </c>
      <c r="G63" s="1" t="s">
        <v>207</v>
      </c>
      <c r="H63" s="1" t="str">
        <f>"true,"</f>
        <v>true,</v>
      </c>
      <c r="I63" s="1" t="str">
        <f>"false,"</f>
        <v>false,</v>
      </c>
      <c r="J63" s="1" t="str">
        <f>"null,"</f>
        <v>null,</v>
      </c>
      <c r="K63" s="1" t="str">
        <f>"null"</f>
        <v>null</v>
      </c>
      <c r="L63" s="6"/>
      <c r="M63" s="10" t="str">
        <f>_xlfn.TEXTJOIN("=",FALSE,A$2,A63)</f>
        <v>Id=256,</v>
      </c>
      <c r="N63" s="10" t="str">
        <f>_xlfn.TEXTJOIN("=",FALSE,B$2,B63)</f>
        <v>Title="نیدرزاکسن",</v>
      </c>
      <c r="O63" s="10" t="str">
        <f>_xlfn.TEXTJOIN("=",FALSE,C$2,C63)</f>
        <v>ParentId=32,</v>
      </c>
      <c r="P63" s="10" t="str">
        <f>_xlfn.TEXTJOIN("=",FALSE,D$2,D63)</f>
        <v>Guid=Guid.Parse("4FE5800A-106A-4EDC-8C5F-40AC08706D9D"),</v>
      </c>
      <c r="Q63" s="10" t="str">
        <f t="shared" ca="1" si="5"/>
        <v>CreatedDate=new DateTime (2026,3,25,4,26,24),</v>
      </c>
      <c r="R63" s="10" t="str">
        <f t="shared" si="5"/>
        <v>CreatedUserId=null,</v>
      </c>
      <c r="S63" s="10" t="str">
        <f t="shared" si="5"/>
        <v>Description= "Created by seeding data",</v>
      </c>
      <c r="T63" s="10" t="str">
        <f t="shared" si="4"/>
        <v>IsActive=true,</v>
      </c>
      <c r="U63" s="10" t="str">
        <f t="shared" si="4"/>
        <v>IsDeleted=false,</v>
      </c>
      <c r="V63" s="10" t="str">
        <f t="shared" si="4"/>
        <v>LastModifiedDate=null,</v>
      </c>
      <c r="W63" s="10" t="str">
        <f t="shared" si="4"/>
        <v>LastModifiedUserId=null</v>
      </c>
      <c r="X63" s="9" t="str">
        <f t="shared" ca="1" si="2"/>
        <v>Id=256,Title="نیدرزاکسن",ParentId=32,Guid=Guid.Parse("4FE5800A-106A-4EDC-8C5F-40AC08706D9D"),CreatedDate=new DateTime (2026,3,25,4,26,24),CreatedUserId=null,Description= "Created by seeding data",IsActive=true,IsDeleted=false,LastModifiedDate=null,LastModifiedUserId=null</v>
      </c>
      <c r="Y63" s="9" t="str">
        <f t="shared" ca="1" si="3"/>
        <v>new State{Id=256,Title="نیدرزاکسن",ParentId=32,Guid=Guid.Parse("4FE5800A-106A-4EDC-8C5F-40AC08706D9D"),CreatedDate=new DateTime (2026,3,25,4,26,24),CreatedUserId=null,Description= "Created by seeding data",IsActive=true,IsDeleted=false,LastModifiedDate=null,LastModifiedUserId=null},</v>
      </c>
    </row>
    <row r="64" spans="1:28" ht="19.5" x14ac:dyDescent="0.5">
      <c r="A64" s="1" t="str">
        <f t="shared" si="0"/>
        <v>257,</v>
      </c>
      <c r="B64" s="1" t="s">
        <v>466</v>
      </c>
      <c r="C64" s="1" t="s">
        <v>468</v>
      </c>
      <c r="D64" s="1" t="s">
        <v>269</v>
      </c>
      <c r="E64" s="1" t="str">
        <f ca="1">"new DateTime (" &amp; $C$1&amp;"),"</f>
        <v>new DateTime (2026,3,25,4,26,24),</v>
      </c>
      <c r="F64" s="1" t="str">
        <f>"null,"</f>
        <v>null,</v>
      </c>
      <c r="G64" s="1" t="s">
        <v>207</v>
      </c>
      <c r="H64" s="1" t="str">
        <f>"true,"</f>
        <v>true,</v>
      </c>
      <c r="I64" s="1" t="str">
        <f>"false,"</f>
        <v>false,</v>
      </c>
      <c r="J64" s="1" t="str">
        <f>"null,"</f>
        <v>null,</v>
      </c>
      <c r="K64" s="1" t="str">
        <f>"null"</f>
        <v>null</v>
      </c>
      <c r="L64" s="6"/>
      <c r="M64" s="10" t="str">
        <f>_xlfn.TEXTJOIN("=",FALSE,A$2,A64)</f>
        <v>Id=257,</v>
      </c>
      <c r="N64" s="10" t="str">
        <f>_xlfn.TEXTJOIN("=",FALSE,B$2,B64)</f>
        <v>Title="هامبورگ",</v>
      </c>
      <c r="O64" s="10" t="str">
        <f>_xlfn.TEXTJOIN("=",FALSE,C$2,C64)</f>
        <v>ParentId=32,</v>
      </c>
      <c r="P64" s="10" t="str">
        <f>_xlfn.TEXTJOIN("=",FALSE,D$2,D64)</f>
        <v>Guid=Guid.Parse("9256776F-53DF-452B-A87C-4A3086A451CD"),</v>
      </c>
      <c r="Q64" s="10" t="str">
        <f t="shared" ca="1" si="5"/>
        <v>CreatedDate=new DateTime (2026,3,25,4,26,24),</v>
      </c>
      <c r="R64" s="10" t="str">
        <f t="shared" si="5"/>
        <v>CreatedUserId=null,</v>
      </c>
      <c r="S64" s="10" t="str">
        <f t="shared" si="5"/>
        <v>Description= "Created by seeding data",</v>
      </c>
      <c r="T64" s="10" t="str">
        <f t="shared" si="4"/>
        <v>IsActive=true,</v>
      </c>
      <c r="U64" s="10" t="str">
        <f t="shared" si="4"/>
        <v>IsDeleted=false,</v>
      </c>
      <c r="V64" s="10" t="str">
        <f t="shared" si="4"/>
        <v>LastModifiedDate=null,</v>
      </c>
      <c r="W64" s="10" t="str">
        <f t="shared" si="4"/>
        <v>LastModifiedUserId=null</v>
      </c>
      <c r="X64" s="9" t="str">
        <f t="shared" ca="1" si="2"/>
        <v>Id=257,Title="هامبورگ",ParentId=32,Guid=Guid.Parse("9256776F-53DF-452B-A87C-4A3086A451CD"),CreatedDate=new DateTime (2026,3,25,4,26,24),CreatedUserId=null,Description= "Created by seeding data",IsActive=true,IsDeleted=false,LastModifiedDate=null,LastModifiedUserId=null</v>
      </c>
      <c r="Y64" s="9" t="str">
        <f t="shared" ca="1" si="3"/>
        <v>new State{Id=257,Title="هامبورگ",ParentId=32,Guid=Guid.Parse("9256776F-53DF-452B-A87C-4A3086A451CD"),CreatedDate=new DateTime (2026,3,25,4,26,24),CreatedUserId=null,Description= "Created by seeding data",IsActive=true,IsDeleted=false,LastModifiedDate=null,LastModifiedUserId=null},</v>
      </c>
    </row>
    <row r="65" spans="1:25" ht="19.5" x14ac:dyDescent="0.5">
      <c r="A65" s="1" t="str">
        <f t="shared" si="0"/>
        <v>258,</v>
      </c>
      <c r="B65" s="1" t="s">
        <v>467</v>
      </c>
      <c r="C65" s="1" t="s">
        <v>468</v>
      </c>
      <c r="D65" s="1" t="s">
        <v>270</v>
      </c>
      <c r="E65" s="1" t="str">
        <f ca="1">"new DateTime (" &amp; $C$1&amp;"),"</f>
        <v>new DateTime (2026,3,25,4,26,24),</v>
      </c>
      <c r="F65" s="1" t="str">
        <f>"null,"</f>
        <v>null,</v>
      </c>
      <c r="G65" s="1" t="s">
        <v>207</v>
      </c>
      <c r="H65" s="1" t="str">
        <f>"true,"</f>
        <v>true,</v>
      </c>
      <c r="I65" s="1" t="str">
        <f>"false,"</f>
        <v>false,</v>
      </c>
      <c r="J65" s="1" t="str">
        <f>"null,"</f>
        <v>null,</v>
      </c>
      <c r="K65" s="1" t="str">
        <f>"null"</f>
        <v>null</v>
      </c>
      <c r="L65" s="6"/>
      <c r="M65" s="10" t="str">
        <f>_xlfn.TEXTJOIN("=",FALSE,A$2,A65)</f>
        <v>Id=258,</v>
      </c>
      <c r="N65" s="10" t="str">
        <f>_xlfn.TEXTJOIN("=",FALSE,B$2,B65)</f>
        <v>Title="هسن",</v>
      </c>
      <c r="O65" s="10" t="str">
        <f>_xlfn.TEXTJOIN("=",FALSE,C$2,C65)</f>
        <v>ParentId=32,</v>
      </c>
      <c r="P65" s="10" t="str">
        <f>_xlfn.TEXTJOIN("=",FALSE,D$2,D65)</f>
        <v>Guid=Guid.Parse("8545D4A8-5939-49D6-9C73-12AF1DE0A7B7"),</v>
      </c>
      <c r="Q65" s="10" t="str">
        <f t="shared" ca="1" si="5"/>
        <v>CreatedDate=new DateTime (2026,3,25,4,26,24),</v>
      </c>
      <c r="R65" s="10" t="str">
        <f t="shared" si="5"/>
        <v>CreatedUserId=null,</v>
      </c>
      <c r="S65" s="10" t="str">
        <f t="shared" si="5"/>
        <v>Description= "Created by seeding data",</v>
      </c>
      <c r="T65" s="10" t="str">
        <f t="shared" si="4"/>
        <v>IsActive=true,</v>
      </c>
      <c r="U65" s="10" t="str">
        <f t="shared" si="4"/>
        <v>IsDeleted=false,</v>
      </c>
      <c r="V65" s="10" t="str">
        <f t="shared" si="4"/>
        <v>LastModifiedDate=null,</v>
      </c>
      <c r="W65" s="10" t="str">
        <f t="shared" si="4"/>
        <v>LastModifiedUserId=null</v>
      </c>
      <c r="X65" s="9" t="str">
        <f t="shared" ca="1" si="2"/>
        <v>Id=258,Title="هسن",ParentId=32,Guid=Guid.Parse("8545D4A8-5939-49D6-9C73-12AF1DE0A7B7"),CreatedDate=new DateTime (2026,3,25,4,26,24),CreatedUserId=null,Description= "Created by seeding data",IsActive=true,IsDeleted=false,LastModifiedDate=null,LastModifiedUserId=null</v>
      </c>
      <c r="Y65" s="9" t="str">
        <f t="shared" ca="1" si="3"/>
        <v>new State{Id=258,Title="هسن",ParentId=32,Guid=Guid.Parse("8545D4A8-5939-49D6-9C73-12AF1DE0A7B7"),CreatedDate=new DateTime (2026,3,25,4,26,24),CreatedUserId=null,Description= "Created by seeding data",IsActive=true,IsDeleted=false,LastModifiedDate=null,LastModifiedUserId=null},</v>
      </c>
    </row>
    <row r="66" spans="1:25" ht="19.5" x14ac:dyDescent="0.5">
      <c r="A66" s="1" t="str">
        <f t="shared" si="0"/>
        <v>259,</v>
      </c>
      <c r="B66" s="1" t="s">
        <v>470</v>
      </c>
      <c r="C66" s="1" t="s">
        <v>489</v>
      </c>
      <c r="D66" s="1" t="s">
        <v>271</v>
      </c>
      <c r="E66" s="1" t="str">
        <f ca="1">"new DateTime (" &amp; $C$1&amp;"),"</f>
        <v>new DateTime (2026,3,25,4,26,24),</v>
      </c>
      <c r="F66" s="1" t="str">
        <f>"null,"</f>
        <v>null,</v>
      </c>
      <c r="G66" s="1" t="s">
        <v>207</v>
      </c>
      <c r="H66" s="1" t="str">
        <f>"true,"</f>
        <v>true,</v>
      </c>
      <c r="I66" s="1" t="str">
        <f>"false,"</f>
        <v>false,</v>
      </c>
      <c r="J66" s="1" t="str">
        <f>"null,"</f>
        <v>null,</v>
      </c>
      <c r="K66" s="1" t="str">
        <f>"null"</f>
        <v>null</v>
      </c>
      <c r="L66" s="6"/>
      <c r="M66" s="10" t="str">
        <f>_xlfn.TEXTJOIN("=",FALSE,A$2,A66)</f>
        <v>Id=259,</v>
      </c>
      <c r="N66" s="10" t="str">
        <f>_xlfn.TEXTJOIN("=",FALSE,B$2,B66)</f>
        <v>Title="ازمیر",</v>
      </c>
      <c r="O66" s="10" t="str">
        <f>_xlfn.TEXTJOIN("=",FALSE,C$2,C66)</f>
        <v>ParentId=66,</v>
      </c>
      <c r="P66" s="10" t="str">
        <f>_xlfn.TEXTJOIN("=",FALSE,D$2,D66)</f>
        <v>Guid=Guid.Parse("ECB47318-38BA-4672-A9BF-E2132F8207E8"),</v>
      </c>
      <c r="Q66" s="10" t="str">
        <f t="shared" ca="1" si="5"/>
        <v>CreatedDate=new DateTime (2026,3,25,4,26,24),</v>
      </c>
      <c r="R66" s="10" t="str">
        <f t="shared" si="5"/>
        <v>CreatedUserId=null,</v>
      </c>
      <c r="S66" s="10" t="str">
        <f t="shared" si="5"/>
        <v>Description= "Created by seeding data",</v>
      </c>
      <c r="T66" s="10" t="str">
        <f t="shared" si="4"/>
        <v>IsActive=true,</v>
      </c>
      <c r="U66" s="10" t="str">
        <f t="shared" si="4"/>
        <v>IsDeleted=false,</v>
      </c>
      <c r="V66" s="10" t="str">
        <f t="shared" si="4"/>
        <v>LastModifiedDate=null,</v>
      </c>
      <c r="W66" s="10" t="str">
        <f t="shared" si="4"/>
        <v>LastModifiedUserId=null</v>
      </c>
      <c r="X66" s="9" t="str">
        <f t="shared" ca="1" si="2"/>
        <v>Id=259,Title="ازمیر",ParentId=66,Guid=Guid.Parse("ECB47318-38BA-4672-A9BF-E2132F8207E8"),CreatedDate=new DateTime (2026,3,25,4,26,24),CreatedUserId=null,Description= "Created by seeding data",IsActive=true,IsDeleted=false,LastModifiedDate=null,LastModifiedUserId=null</v>
      </c>
      <c r="Y66" s="9" t="str">
        <f t="shared" ca="1" si="3"/>
        <v>new State{Id=259,Title="ازمیر",ParentId=66,Guid=Guid.Parse("ECB47318-38BA-4672-A9BF-E2132F8207E8"),CreatedDate=new DateTime (2026,3,25,4,26,24),CreatedUserId=null,Description= "Created by seeding data",IsActive=true,IsDeleted=false,LastModifiedDate=null,LastModifiedUserId=null},</v>
      </c>
    </row>
    <row r="67" spans="1:25" ht="19.5" x14ac:dyDescent="0.5">
      <c r="A67" s="1" t="str">
        <f t="shared" si="0"/>
        <v>260,</v>
      </c>
      <c r="B67" s="1" t="s">
        <v>471</v>
      </c>
      <c r="C67" s="1" t="s">
        <v>489</v>
      </c>
      <c r="D67" s="1" t="s">
        <v>272</v>
      </c>
      <c r="E67" s="1" t="str">
        <f ca="1">"new DateTime (" &amp; $C$1&amp;"),"</f>
        <v>new DateTime (2026,3,25,4,26,24),</v>
      </c>
      <c r="F67" s="1" t="str">
        <f>"null,"</f>
        <v>null,</v>
      </c>
      <c r="G67" s="1" t="s">
        <v>207</v>
      </c>
      <c r="H67" s="1" t="str">
        <f>"true,"</f>
        <v>true,</v>
      </c>
      <c r="I67" s="1" t="str">
        <f>"false,"</f>
        <v>false,</v>
      </c>
      <c r="J67" s="1" t="str">
        <f>"null,"</f>
        <v>null,</v>
      </c>
      <c r="K67" s="1" t="str">
        <f>"null"</f>
        <v>null</v>
      </c>
      <c r="L67" s="6"/>
      <c r="M67" s="10" t="str">
        <f>_xlfn.TEXTJOIN("=",FALSE,A$2,A67)</f>
        <v>Id=260,</v>
      </c>
      <c r="N67" s="10" t="str">
        <f>_xlfn.TEXTJOIN("=",FALSE,B$2,B67)</f>
        <v>Title="استانبول",</v>
      </c>
      <c r="O67" s="10" t="str">
        <f>_xlfn.TEXTJOIN("=",FALSE,C$2,C67)</f>
        <v>ParentId=66,</v>
      </c>
      <c r="P67" s="10" t="str">
        <f>_xlfn.TEXTJOIN("=",FALSE,D$2,D67)</f>
        <v>Guid=Guid.Parse("646EEFD1-6A3E-4127-88EB-D46CFE994076"),</v>
      </c>
      <c r="Q67" s="10" t="str">
        <f t="shared" ca="1" si="5"/>
        <v>CreatedDate=new DateTime (2026,3,25,4,26,24),</v>
      </c>
      <c r="R67" s="10" t="str">
        <f t="shared" si="5"/>
        <v>CreatedUserId=null,</v>
      </c>
      <c r="S67" s="10" t="str">
        <f t="shared" si="5"/>
        <v>Description= "Created by seeding data",</v>
      </c>
      <c r="T67" s="10" t="str">
        <f t="shared" si="4"/>
        <v>IsActive=true,</v>
      </c>
      <c r="U67" s="10" t="str">
        <f t="shared" si="4"/>
        <v>IsDeleted=false,</v>
      </c>
      <c r="V67" s="10" t="str">
        <f t="shared" si="4"/>
        <v>LastModifiedDate=null,</v>
      </c>
      <c r="W67" s="10" t="str">
        <f t="shared" si="4"/>
        <v>LastModifiedUserId=null</v>
      </c>
      <c r="X67" s="9" t="str">
        <f t="shared" ca="1" si="2"/>
        <v>Id=260,Title="استانبول",ParentId=66,Guid=Guid.Parse("646EEFD1-6A3E-4127-88EB-D46CFE994076"),CreatedDate=new DateTime (2026,3,25,4,26,24),CreatedUserId=null,Description= "Created by seeding data",IsActive=true,IsDeleted=false,LastModifiedDate=null,LastModifiedUserId=null</v>
      </c>
      <c r="Y67" s="9" t="str">
        <f t="shared" ca="1" si="3"/>
        <v>new State{Id=260,Title="استانبول",ParentId=66,Guid=Guid.Parse("646EEFD1-6A3E-4127-88EB-D46CFE994076"),CreatedDate=new DateTime (2026,3,25,4,26,24),CreatedUserId=null,Description= "Created by seeding data",IsActive=true,IsDeleted=false,LastModifiedDate=null,LastModifiedUserId=null},</v>
      </c>
    </row>
    <row r="68" spans="1:25" ht="19.5" x14ac:dyDescent="0.5">
      <c r="A68" s="1" t="str">
        <f t="shared" ref="A68:A83" si="6">ROW()-ROW($A$2)+195&amp;","</f>
        <v>261,</v>
      </c>
      <c r="B68" s="1" t="s">
        <v>472</v>
      </c>
      <c r="C68" s="1" t="s">
        <v>489</v>
      </c>
      <c r="D68" s="1" t="s">
        <v>273</v>
      </c>
      <c r="E68" s="1" t="str">
        <f ca="1">"new DateTime (" &amp; $C$1&amp;"),"</f>
        <v>new DateTime (2026,3,25,4,26,24),</v>
      </c>
      <c r="F68" s="1" t="str">
        <f>"null,"</f>
        <v>null,</v>
      </c>
      <c r="G68" s="1" t="s">
        <v>207</v>
      </c>
      <c r="H68" s="1" t="str">
        <f>"true,"</f>
        <v>true,</v>
      </c>
      <c r="I68" s="1" t="str">
        <f>"false,"</f>
        <v>false,</v>
      </c>
      <c r="J68" s="1" t="str">
        <f>"null,"</f>
        <v>null,</v>
      </c>
      <c r="K68" s="1" t="str">
        <f>"null"</f>
        <v>null</v>
      </c>
      <c r="L68" s="6"/>
      <c r="M68" s="10" t="str">
        <f>_xlfn.TEXTJOIN("=",FALSE,A$2,A68)</f>
        <v>Id=261,</v>
      </c>
      <c r="N68" s="10" t="str">
        <f>_xlfn.TEXTJOIN("=",FALSE,B$2,B68)</f>
        <v>Title="آدانا",</v>
      </c>
      <c r="O68" s="10" t="str">
        <f>_xlfn.TEXTJOIN("=",FALSE,C$2,C68)</f>
        <v>ParentId=66,</v>
      </c>
      <c r="P68" s="10" t="str">
        <f>_xlfn.TEXTJOIN("=",FALSE,D$2,D68)</f>
        <v>Guid=Guid.Parse("82AB027B-BDE3-4EE9-A217-4073BCEA57B0"),</v>
      </c>
      <c r="Q68" s="10" t="str">
        <f t="shared" ca="1" si="5"/>
        <v>CreatedDate=new DateTime (2026,3,25,4,26,24),</v>
      </c>
      <c r="R68" s="10" t="str">
        <f t="shared" si="5"/>
        <v>CreatedUserId=null,</v>
      </c>
      <c r="S68" s="10" t="str">
        <f t="shared" si="5"/>
        <v>Description= "Created by seeding data",</v>
      </c>
      <c r="T68" s="10" t="str">
        <f t="shared" si="4"/>
        <v>IsActive=true,</v>
      </c>
      <c r="U68" s="10" t="str">
        <f t="shared" si="4"/>
        <v>IsDeleted=false,</v>
      </c>
      <c r="V68" s="10" t="str">
        <f t="shared" si="4"/>
        <v>LastModifiedDate=null,</v>
      </c>
      <c r="W68" s="10" t="str">
        <f t="shared" si="4"/>
        <v>LastModifiedUserId=null</v>
      </c>
      <c r="X68" s="9" t="str">
        <f t="shared" ref="X68:X83" ca="1" si="7">_xlfn.TEXTJOIN("",FALSE,M68:W68)</f>
        <v>Id=261,Title="آدانا",ParentId=66,Guid=Guid.Parse("82AB027B-BDE3-4EE9-A217-4073BCEA57B0"),CreatedDate=new DateTime (2026,3,25,4,26,24),CreatedUserId=null,Description= "Created by seeding data",IsActive=true,IsDeleted=false,LastModifiedDate=null,LastModifiedUserId=null</v>
      </c>
      <c r="Y68" s="9" t="str">
        <f t="shared" ref="Y68:Y83" ca="1" si="8">"new State{" &amp;X68&amp; "},"</f>
        <v>new State{Id=261,Title="آدانا",ParentId=66,Guid=Guid.Parse("82AB027B-BDE3-4EE9-A217-4073BCEA57B0"),CreatedDate=new DateTime (2026,3,25,4,26,24),CreatedUserId=null,Description= "Created by seeding data",IsActive=true,IsDeleted=false,LastModifiedDate=null,LastModifiedUserId=null},</v>
      </c>
    </row>
    <row r="69" spans="1:25" ht="19.5" x14ac:dyDescent="0.5">
      <c r="A69" s="1" t="str">
        <f t="shared" si="6"/>
        <v>262,</v>
      </c>
      <c r="B69" s="1" t="s">
        <v>473</v>
      </c>
      <c r="C69" s="1" t="s">
        <v>489</v>
      </c>
      <c r="D69" s="1" t="s">
        <v>274</v>
      </c>
      <c r="E69" s="1" t="str">
        <f ca="1">"new DateTime (" &amp; $C$1&amp;"),"</f>
        <v>new DateTime (2026,3,25,4,26,24),</v>
      </c>
      <c r="F69" s="1" t="str">
        <f>"null,"</f>
        <v>null,</v>
      </c>
      <c r="G69" s="1" t="s">
        <v>207</v>
      </c>
      <c r="H69" s="1" t="str">
        <f>"true,"</f>
        <v>true,</v>
      </c>
      <c r="I69" s="1" t="str">
        <f>"false,"</f>
        <v>false,</v>
      </c>
      <c r="J69" s="1" t="str">
        <f>"null,"</f>
        <v>null,</v>
      </c>
      <c r="K69" s="1" t="str">
        <f>"null"</f>
        <v>null</v>
      </c>
      <c r="L69" s="6"/>
      <c r="M69" s="10" t="str">
        <f>_xlfn.TEXTJOIN("=",FALSE,A$2,A69)</f>
        <v>Id=262,</v>
      </c>
      <c r="N69" s="10" t="str">
        <f>_xlfn.TEXTJOIN("=",FALSE,B$2,B69)</f>
        <v>Title="آنتالیا",</v>
      </c>
      <c r="O69" s="10" t="str">
        <f>_xlfn.TEXTJOIN("=",FALSE,C$2,C69)</f>
        <v>ParentId=66,</v>
      </c>
      <c r="P69" s="10" t="str">
        <f>_xlfn.TEXTJOIN("=",FALSE,D$2,D69)</f>
        <v>Guid=Guid.Parse("DBEECB7A-2D43-401F-B3A9-B46BDF87C29B"),</v>
      </c>
      <c r="Q69" s="10" t="str">
        <f t="shared" ca="1" si="5"/>
        <v>CreatedDate=new DateTime (2026,3,25,4,26,24),</v>
      </c>
      <c r="R69" s="10" t="str">
        <f t="shared" si="5"/>
        <v>CreatedUserId=null,</v>
      </c>
      <c r="S69" s="10" t="str">
        <f t="shared" si="5"/>
        <v>Description= "Created by seeding data",</v>
      </c>
      <c r="T69" s="10" t="str">
        <f t="shared" si="4"/>
        <v>IsActive=true,</v>
      </c>
      <c r="U69" s="10" t="str">
        <f t="shared" si="4"/>
        <v>IsDeleted=false,</v>
      </c>
      <c r="V69" s="10" t="str">
        <f t="shared" si="4"/>
        <v>LastModifiedDate=null,</v>
      </c>
      <c r="W69" s="10" t="str">
        <f t="shared" si="4"/>
        <v>LastModifiedUserId=null</v>
      </c>
      <c r="X69" s="9" t="str">
        <f t="shared" ca="1" si="7"/>
        <v>Id=262,Title="آنتالیا",ParentId=66,Guid=Guid.Parse("DBEECB7A-2D43-401F-B3A9-B46BDF87C29B"),CreatedDate=new DateTime (2026,3,25,4,26,24),CreatedUserId=null,Description= "Created by seeding data",IsActive=true,IsDeleted=false,LastModifiedDate=null,LastModifiedUserId=null</v>
      </c>
      <c r="Y69" s="9" t="str">
        <f t="shared" ca="1" si="8"/>
        <v>new State{Id=262,Title="آنتالیا",ParentId=66,Guid=Guid.Parse("DBEECB7A-2D43-401F-B3A9-B46BDF87C29B"),CreatedDate=new DateTime (2026,3,25,4,26,24),CreatedUserId=null,Description= "Created by seeding data",IsActive=true,IsDeleted=false,LastModifiedDate=null,LastModifiedUserId=null},</v>
      </c>
    </row>
    <row r="70" spans="1:25" ht="19.5" x14ac:dyDescent="0.5">
      <c r="A70" s="1" t="str">
        <f t="shared" si="6"/>
        <v>263,</v>
      </c>
      <c r="B70" s="1" t="s">
        <v>474</v>
      </c>
      <c r="C70" s="1" t="s">
        <v>489</v>
      </c>
      <c r="D70" s="1" t="s">
        <v>275</v>
      </c>
      <c r="E70" s="1" t="str">
        <f ca="1">"new DateTime (" &amp; $C$1&amp;"),"</f>
        <v>new DateTime (2026,3,25,4,26,24),</v>
      </c>
      <c r="F70" s="1" t="str">
        <f>"null,"</f>
        <v>null,</v>
      </c>
      <c r="G70" s="1" t="s">
        <v>207</v>
      </c>
      <c r="H70" s="1" t="str">
        <f>"true,"</f>
        <v>true,</v>
      </c>
      <c r="I70" s="1" t="str">
        <f>"false,"</f>
        <v>false,</v>
      </c>
      <c r="J70" s="1" t="str">
        <f>"null,"</f>
        <v>null,</v>
      </c>
      <c r="K70" s="1" t="str">
        <f>"null"</f>
        <v>null</v>
      </c>
      <c r="L70" s="6"/>
      <c r="M70" s="10" t="str">
        <f>_xlfn.TEXTJOIN("=",FALSE,A$2,A70)</f>
        <v>Id=263,</v>
      </c>
      <c r="N70" s="10" t="str">
        <f>_xlfn.TEXTJOIN("=",FALSE,B$2,B70)</f>
        <v>Title="آنکارا",</v>
      </c>
      <c r="O70" s="10" t="str">
        <f>_xlfn.TEXTJOIN("=",FALSE,C$2,C70)</f>
        <v>ParentId=66,</v>
      </c>
      <c r="P70" s="10" t="str">
        <f>_xlfn.TEXTJOIN("=",FALSE,D$2,D70)</f>
        <v>Guid=Guid.Parse("7BBF3CE3-81DE-4423-A7C9-DC14068D03D2"),</v>
      </c>
      <c r="Q70" s="10" t="str">
        <f t="shared" ca="1" si="5"/>
        <v>CreatedDate=new DateTime (2026,3,25,4,26,24),</v>
      </c>
      <c r="R70" s="10" t="str">
        <f t="shared" si="5"/>
        <v>CreatedUserId=null,</v>
      </c>
      <c r="S70" s="10" t="str">
        <f t="shared" si="5"/>
        <v>Description= "Created by seeding data",</v>
      </c>
      <c r="T70" s="10" t="str">
        <f t="shared" si="4"/>
        <v>IsActive=true,</v>
      </c>
      <c r="U70" s="10" t="str">
        <f t="shared" si="4"/>
        <v>IsDeleted=false,</v>
      </c>
      <c r="V70" s="10" t="str">
        <f t="shared" si="4"/>
        <v>LastModifiedDate=null,</v>
      </c>
      <c r="W70" s="10" t="str">
        <f t="shared" si="4"/>
        <v>LastModifiedUserId=null</v>
      </c>
      <c r="X70" s="9" t="str">
        <f t="shared" ca="1" si="7"/>
        <v>Id=263,Title="آنکارا",ParentId=66,Guid=Guid.Parse("7BBF3CE3-81DE-4423-A7C9-DC14068D03D2"),CreatedDate=new DateTime (2026,3,25,4,26,24),CreatedUserId=null,Description= "Created by seeding data",IsActive=true,IsDeleted=false,LastModifiedDate=null,LastModifiedUserId=null</v>
      </c>
      <c r="Y70" s="9" t="str">
        <f t="shared" ca="1" si="8"/>
        <v>new State{Id=263,Title="آنکارا",ParentId=66,Guid=Guid.Parse("7BBF3CE3-81DE-4423-A7C9-DC14068D03D2"),CreatedDate=new DateTime (2026,3,25,4,26,24),CreatedUserId=null,Description= "Created by seeding data",IsActive=true,IsDeleted=false,LastModifiedDate=null,LastModifiedUserId=null},</v>
      </c>
    </row>
    <row r="71" spans="1:25" ht="19.5" x14ac:dyDescent="0.5">
      <c r="A71" s="1" t="str">
        <f t="shared" si="6"/>
        <v>264,</v>
      </c>
      <c r="B71" s="1" t="s">
        <v>475</v>
      </c>
      <c r="C71" s="1" t="s">
        <v>489</v>
      </c>
      <c r="D71" s="1" t="s">
        <v>276</v>
      </c>
      <c r="E71" s="1" t="str">
        <f ca="1">"new DateTime (" &amp; $C$1&amp;"),"</f>
        <v>new DateTime (2026,3,25,4,26,24),</v>
      </c>
      <c r="F71" s="1" t="str">
        <f>"null,"</f>
        <v>null,</v>
      </c>
      <c r="G71" s="1" t="s">
        <v>207</v>
      </c>
      <c r="H71" s="1" t="str">
        <f>"true,"</f>
        <v>true,</v>
      </c>
      <c r="I71" s="1" t="str">
        <f>"false,"</f>
        <v>false,</v>
      </c>
      <c r="J71" s="1" t="str">
        <f>"null,"</f>
        <v>null,</v>
      </c>
      <c r="K71" s="1" t="str">
        <f>"null"</f>
        <v>null</v>
      </c>
      <c r="L71" s="6"/>
      <c r="M71" s="10" t="str">
        <f>_xlfn.TEXTJOIN("=",FALSE,A$2,A71)</f>
        <v>Id=264,</v>
      </c>
      <c r="N71" s="10" t="str">
        <f>_xlfn.TEXTJOIN("=",FALSE,B$2,B71)</f>
        <v>Title="بورسا",</v>
      </c>
      <c r="O71" s="10" t="str">
        <f>_xlfn.TEXTJOIN("=",FALSE,C$2,C71)</f>
        <v>ParentId=66,</v>
      </c>
      <c r="P71" s="10" t="str">
        <f>_xlfn.TEXTJOIN("=",FALSE,D$2,D71)</f>
        <v>Guid=Guid.Parse("A16B2315-C803-4BED-AC69-214C6CDE3FF3"),</v>
      </c>
      <c r="Q71" s="10" t="str">
        <f t="shared" ca="1" si="5"/>
        <v>CreatedDate=new DateTime (2026,3,25,4,26,24),</v>
      </c>
      <c r="R71" s="10" t="str">
        <f t="shared" si="5"/>
        <v>CreatedUserId=null,</v>
      </c>
      <c r="S71" s="10" t="str">
        <f t="shared" si="5"/>
        <v>Description= "Created by seeding data",</v>
      </c>
      <c r="T71" s="10" t="str">
        <f t="shared" si="4"/>
        <v>IsActive=true,</v>
      </c>
      <c r="U71" s="10" t="str">
        <f t="shared" si="4"/>
        <v>IsDeleted=false,</v>
      </c>
      <c r="V71" s="10" t="str">
        <f t="shared" si="4"/>
        <v>LastModifiedDate=null,</v>
      </c>
      <c r="W71" s="10" t="str">
        <f t="shared" si="4"/>
        <v>LastModifiedUserId=null</v>
      </c>
      <c r="X71" s="9" t="str">
        <f t="shared" ca="1" si="7"/>
        <v>Id=264,Title="بورسا",ParentId=66,Guid=Guid.Parse("A16B2315-C803-4BED-AC69-214C6CDE3FF3"),CreatedDate=new DateTime (2026,3,25,4,26,24),CreatedUserId=null,Description= "Created by seeding data",IsActive=true,IsDeleted=false,LastModifiedDate=null,LastModifiedUserId=null</v>
      </c>
      <c r="Y71" s="9" t="str">
        <f t="shared" ca="1" si="8"/>
        <v>new State{Id=264,Title="بورسا",ParentId=66,Guid=Guid.Parse("A16B2315-C803-4BED-AC69-214C6CDE3FF3"),CreatedDate=new DateTime (2026,3,25,4,26,24),CreatedUserId=null,Description= "Created by seeding data",IsActive=true,IsDeleted=false,LastModifiedDate=null,LastModifiedUserId=null},</v>
      </c>
    </row>
    <row r="72" spans="1:25" ht="19.5" x14ac:dyDescent="0.5">
      <c r="A72" s="1" t="str">
        <f t="shared" si="6"/>
        <v>265,</v>
      </c>
      <c r="B72" s="1" t="s">
        <v>476</v>
      </c>
      <c r="C72" s="1" t="s">
        <v>489</v>
      </c>
      <c r="D72" s="1" t="s">
        <v>277</v>
      </c>
      <c r="E72" s="1" t="str">
        <f ca="1">"new DateTime (" &amp; $C$1&amp;"),"</f>
        <v>new DateTime (2026,3,25,4,26,24),</v>
      </c>
      <c r="F72" s="1" t="str">
        <f>"null,"</f>
        <v>null,</v>
      </c>
      <c r="G72" s="1" t="s">
        <v>207</v>
      </c>
      <c r="H72" s="1" t="str">
        <f>"true,"</f>
        <v>true,</v>
      </c>
      <c r="I72" s="1" t="str">
        <f>"false,"</f>
        <v>false,</v>
      </c>
      <c r="J72" s="1" t="str">
        <f>"null,"</f>
        <v>null,</v>
      </c>
      <c r="K72" s="1" t="str">
        <f>"null"</f>
        <v>null</v>
      </c>
      <c r="L72" s="6"/>
      <c r="M72" s="10" t="str">
        <f>_xlfn.TEXTJOIN("=",FALSE,A$2,A72)</f>
        <v>Id=265,</v>
      </c>
      <c r="N72" s="10" t="str">
        <f>_xlfn.TEXTJOIN("=",FALSE,B$2,B72)</f>
        <v>Title="ترابزون",</v>
      </c>
      <c r="O72" s="10" t="str">
        <f>_xlfn.TEXTJOIN("=",FALSE,C$2,C72)</f>
        <v>ParentId=66,</v>
      </c>
      <c r="P72" s="10" t="str">
        <f>_xlfn.TEXTJOIN("=",FALSE,D$2,D72)</f>
        <v>Guid=Guid.Parse("A18DAFC6-11A4-4920-9E42-5983E6758D12"),</v>
      </c>
      <c r="Q72" s="10" t="str">
        <f t="shared" ca="1" si="5"/>
        <v>CreatedDate=new DateTime (2026,3,25,4,26,24),</v>
      </c>
      <c r="R72" s="10" t="str">
        <f t="shared" si="5"/>
        <v>CreatedUserId=null,</v>
      </c>
      <c r="S72" s="10" t="str">
        <f t="shared" si="5"/>
        <v>Description= "Created by seeding data",</v>
      </c>
      <c r="T72" s="10" t="str">
        <f t="shared" si="4"/>
        <v>IsActive=true,</v>
      </c>
      <c r="U72" s="10" t="str">
        <f t="shared" si="4"/>
        <v>IsDeleted=false,</v>
      </c>
      <c r="V72" s="10" t="str">
        <f t="shared" si="4"/>
        <v>LastModifiedDate=null,</v>
      </c>
      <c r="W72" s="10" t="str">
        <f t="shared" si="4"/>
        <v>LastModifiedUserId=null</v>
      </c>
      <c r="X72" s="9" t="str">
        <f t="shared" ca="1" si="7"/>
        <v>Id=265,Title="ترابزون",ParentId=66,Guid=Guid.Parse("A18DAFC6-11A4-4920-9E42-5983E6758D12"),CreatedDate=new DateTime (2026,3,25,4,26,24),CreatedUserId=null,Description= "Created by seeding data",IsActive=true,IsDeleted=false,LastModifiedDate=null,LastModifiedUserId=null</v>
      </c>
      <c r="Y72" s="9" t="str">
        <f t="shared" ca="1" si="8"/>
        <v>new State{Id=265,Title="ترابزون",ParentId=66,Guid=Guid.Parse("A18DAFC6-11A4-4920-9E42-5983E6758D12"),CreatedDate=new DateTime (2026,3,25,4,26,24),CreatedUserId=null,Description= "Created by seeding data",IsActive=true,IsDeleted=false,LastModifiedDate=null,LastModifiedUserId=null},</v>
      </c>
    </row>
    <row r="73" spans="1:25" ht="19.5" x14ac:dyDescent="0.5">
      <c r="A73" s="1" t="str">
        <f t="shared" si="6"/>
        <v>266,</v>
      </c>
      <c r="B73" s="1" t="s">
        <v>477</v>
      </c>
      <c r="C73" s="1" t="s">
        <v>489</v>
      </c>
      <c r="D73" s="1" t="s">
        <v>278</v>
      </c>
      <c r="E73" s="1" t="str">
        <f ca="1">"new DateTime (" &amp; $C$1&amp;"),"</f>
        <v>new DateTime (2026,3,25,4,26,24),</v>
      </c>
      <c r="F73" s="1" t="str">
        <f>"null,"</f>
        <v>null,</v>
      </c>
      <c r="G73" s="1" t="s">
        <v>207</v>
      </c>
      <c r="H73" s="1" t="str">
        <f>"true,"</f>
        <v>true,</v>
      </c>
      <c r="I73" s="1" t="str">
        <f>"false,"</f>
        <v>false,</v>
      </c>
      <c r="J73" s="1" t="str">
        <f>"null,"</f>
        <v>null,</v>
      </c>
      <c r="K73" s="1" t="str">
        <f>"null"</f>
        <v>null</v>
      </c>
      <c r="L73" s="6"/>
      <c r="M73" s="10" t="str">
        <f>_xlfn.TEXTJOIN("=",FALSE,A$2,A73)</f>
        <v>Id=266,</v>
      </c>
      <c r="N73" s="10" t="str">
        <f>_xlfn.TEXTJOIN("=",FALSE,B$2,B73)</f>
        <v>Title="شانلی‌اورفه",</v>
      </c>
      <c r="O73" s="10" t="str">
        <f>_xlfn.TEXTJOIN("=",FALSE,C$2,C73)</f>
        <v>ParentId=66,</v>
      </c>
      <c r="P73" s="10" t="str">
        <f>_xlfn.TEXTJOIN("=",FALSE,D$2,D73)</f>
        <v>Guid=Guid.Parse("2AE85D9E-33C7-4674-B1CA-E0581C48178A"),</v>
      </c>
      <c r="Q73" s="10" t="str">
        <f t="shared" ca="1" si="5"/>
        <v>CreatedDate=new DateTime (2026,3,25,4,26,24),</v>
      </c>
      <c r="R73" s="10" t="str">
        <f t="shared" si="5"/>
        <v>CreatedUserId=null,</v>
      </c>
      <c r="S73" s="10" t="str">
        <f t="shared" si="5"/>
        <v>Description= "Created by seeding data",</v>
      </c>
      <c r="T73" s="10" t="str">
        <f t="shared" si="4"/>
        <v>IsActive=true,</v>
      </c>
      <c r="U73" s="10" t="str">
        <f t="shared" si="4"/>
        <v>IsDeleted=false,</v>
      </c>
      <c r="V73" s="10" t="str">
        <f t="shared" si="4"/>
        <v>LastModifiedDate=null,</v>
      </c>
      <c r="W73" s="10" t="str">
        <f t="shared" si="4"/>
        <v>LastModifiedUserId=null</v>
      </c>
      <c r="X73" s="9" t="str">
        <f t="shared" ca="1" si="7"/>
        <v>Id=266,Title="شانلی‌اورفه",ParentId=66,Guid=Guid.Parse("2AE85D9E-33C7-4674-B1CA-E0581C48178A"),CreatedDate=new DateTime (2026,3,25,4,26,24),CreatedUserId=null,Description= "Created by seeding data",IsActive=true,IsDeleted=false,LastModifiedDate=null,LastModifiedUserId=null</v>
      </c>
      <c r="Y73" s="9" t="str">
        <f t="shared" ca="1" si="8"/>
        <v>new State{Id=266,Title="شانلی‌اورفه",ParentId=66,Guid=Guid.Parse("2AE85D9E-33C7-4674-B1CA-E0581C48178A"),CreatedDate=new DateTime (2026,3,25,4,26,24),CreatedUserId=null,Description= "Created by seeding data",IsActive=true,IsDeleted=false,LastModifiedDate=null,LastModifiedUserId=null},</v>
      </c>
    </row>
    <row r="74" spans="1:25" ht="19.5" x14ac:dyDescent="0.5">
      <c r="A74" s="1" t="str">
        <f t="shared" si="6"/>
        <v>267,</v>
      </c>
      <c r="B74" s="1" t="s">
        <v>478</v>
      </c>
      <c r="C74" s="1" t="s">
        <v>489</v>
      </c>
      <c r="D74" s="1" t="s">
        <v>279</v>
      </c>
      <c r="E74" s="1" t="str">
        <f ca="1">"new DateTime (" &amp; $C$1&amp;"),"</f>
        <v>new DateTime (2026,3,25,4,26,24),</v>
      </c>
      <c r="F74" s="1" t="str">
        <f>"null,"</f>
        <v>null,</v>
      </c>
      <c r="G74" s="1" t="s">
        <v>207</v>
      </c>
      <c r="H74" s="1" t="str">
        <f>"true,"</f>
        <v>true,</v>
      </c>
      <c r="I74" s="1" t="str">
        <f>"false,"</f>
        <v>false,</v>
      </c>
      <c r="J74" s="1" t="str">
        <f>"null,"</f>
        <v>null,</v>
      </c>
      <c r="K74" s="1" t="str">
        <f>"null"</f>
        <v>null</v>
      </c>
      <c r="L74" s="6"/>
      <c r="M74" s="10" t="str">
        <f>_xlfn.TEXTJOIN("=",FALSE,A$2,A74)</f>
        <v>Id=267,</v>
      </c>
      <c r="N74" s="10" t="str">
        <f>_xlfn.TEXTJOIN("=",FALSE,B$2,B74)</f>
        <v>Title="غازی عینتاب",</v>
      </c>
      <c r="O74" s="10" t="str">
        <f>_xlfn.TEXTJOIN("=",FALSE,C$2,C74)</f>
        <v>ParentId=66,</v>
      </c>
      <c r="P74" s="10" t="str">
        <f>_xlfn.TEXTJOIN("=",FALSE,D$2,D74)</f>
        <v>Guid=Guid.Parse("2941F4F3-249F-40BB-A1E6-6A830F4B7F1D"),</v>
      </c>
      <c r="Q74" s="10" t="str">
        <f t="shared" ca="1" si="5"/>
        <v>CreatedDate=new DateTime (2026,3,25,4,26,24),</v>
      </c>
      <c r="R74" s="10" t="str">
        <f t="shared" si="5"/>
        <v>CreatedUserId=null,</v>
      </c>
      <c r="S74" s="10" t="str">
        <f t="shared" si="5"/>
        <v>Description= "Created by seeding data",</v>
      </c>
      <c r="T74" s="10" t="str">
        <f t="shared" si="4"/>
        <v>IsActive=true,</v>
      </c>
      <c r="U74" s="10" t="str">
        <f t="shared" si="4"/>
        <v>IsDeleted=false,</v>
      </c>
      <c r="V74" s="10" t="str">
        <f t="shared" si="4"/>
        <v>LastModifiedDate=null,</v>
      </c>
      <c r="W74" s="10" t="str">
        <f t="shared" si="4"/>
        <v>LastModifiedUserId=null</v>
      </c>
      <c r="X74" s="9" t="str">
        <f t="shared" ca="1" si="7"/>
        <v>Id=267,Title="غازی عینتاب",ParentId=66,Guid=Guid.Parse("2941F4F3-249F-40BB-A1E6-6A830F4B7F1D"),CreatedDate=new DateTime (2026,3,25,4,26,24),CreatedUserId=null,Description= "Created by seeding data",IsActive=true,IsDeleted=false,LastModifiedDate=null,LastModifiedUserId=null</v>
      </c>
      <c r="Y74" s="9" t="str">
        <f t="shared" ca="1" si="8"/>
        <v>new State{Id=267,Title="غازی عینتاب",ParentId=66,Guid=Guid.Parse("2941F4F3-249F-40BB-A1E6-6A830F4B7F1D"),CreatedDate=new DateTime (2026,3,25,4,26,24),CreatedUserId=null,Description= "Created by seeding data",IsActive=true,IsDeleted=false,LastModifiedDate=null,LastModifiedUserId=null},</v>
      </c>
    </row>
    <row r="75" spans="1:25" ht="19.5" x14ac:dyDescent="0.5">
      <c r="A75" s="1" t="str">
        <f t="shared" si="6"/>
        <v>268,</v>
      </c>
      <c r="B75" s="1" t="s">
        <v>479</v>
      </c>
      <c r="C75" s="1" t="s">
        <v>489</v>
      </c>
      <c r="D75" s="1" t="s">
        <v>280</v>
      </c>
      <c r="E75" s="1" t="str">
        <f ca="1">"new DateTime (" &amp; $C$1&amp;"),"</f>
        <v>new DateTime (2026,3,25,4,26,24),</v>
      </c>
      <c r="F75" s="1" t="str">
        <f>"null,"</f>
        <v>null,</v>
      </c>
      <c r="G75" s="1" t="s">
        <v>207</v>
      </c>
      <c r="H75" s="1" t="str">
        <f>"true,"</f>
        <v>true,</v>
      </c>
      <c r="I75" s="1" t="str">
        <f>"false,"</f>
        <v>false,</v>
      </c>
      <c r="J75" s="1" t="str">
        <f>"null,"</f>
        <v>null,</v>
      </c>
      <c r="K75" s="1" t="str">
        <f>"null"</f>
        <v>null</v>
      </c>
      <c r="L75" s="6"/>
      <c r="M75" s="10" t="str">
        <f>_xlfn.TEXTJOIN("=",FALSE,A$2,A75)</f>
        <v>Id=268,</v>
      </c>
      <c r="N75" s="10" t="str">
        <f>_xlfn.TEXTJOIN("=",FALSE,B$2,B75)</f>
        <v>Title="قونیه",</v>
      </c>
      <c r="O75" s="10" t="str">
        <f>_xlfn.TEXTJOIN("=",FALSE,C$2,C75)</f>
        <v>ParentId=66,</v>
      </c>
      <c r="P75" s="10" t="str">
        <f>_xlfn.TEXTJOIN("=",FALSE,D$2,D75)</f>
        <v>Guid=Guid.Parse("64B19CD3-2416-494A-BF23-D368A5EA607C"),</v>
      </c>
      <c r="Q75" s="10" t="str">
        <f t="shared" ca="1" si="5"/>
        <v>CreatedDate=new DateTime (2026,3,25,4,26,24),</v>
      </c>
      <c r="R75" s="10" t="str">
        <f t="shared" si="5"/>
        <v>CreatedUserId=null,</v>
      </c>
      <c r="S75" s="10" t="str">
        <f t="shared" si="5"/>
        <v>Description= "Created by seeding data",</v>
      </c>
      <c r="T75" s="10" t="str">
        <f t="shared" si="4"/>
        <v>IsActive=true,</v>
      </c>
      <c r="U75" s="10" t="str">
        <f t="shared" si="4"/>
        <v>IsDeleted=false,</v>
      </c>
      <c r="V75" s="10" t="str">
        <f t="shared" si="4"/>
        <v>LastModifiedDate=null,</v>
      </c>
      <c r="W75" s="10" t="str">
        <f t="shared" si="4"/>
        <v>LastModifiedUserId=null</v>
      </c>
      <c r="X75" s="9" t="str">
        <f t="shared" ca="1" si="7"/>
        <v>Id=268,Title="قونیه",ParentId=66,Guid=Guid.Parse("64B19CD3-2416-494A-BF23-D368A5EA607C"),CreatedDate=new DateTime (2026,3,25,4,26,24),CreatedUserId=null,Description= "Created by seeding data",IsActive=true,IsDeleted=false,LastModifiedDate=null,LastModifiedUserId=null</v>
      </c>
      <c r="Y75" s="9" t="str">
        <f t="shared" ca="1" si="8"/>
        <v>new State{Id=268,Title="قونیه",ParentId=66,Guid=Guid.Parse("64B19CD3-2416-494A-BF23-D368A5EA607C"),CreatedDate=new DateTime (2026,3,25,4,26,24),CreatedUserId=null,Description= "Created by seeding data",IsActive=true,IsDeleted=false,LastModifiedDate=null,LastModifiedUserId=null},</v>
      </c>
    </row>
    <row r="76" spans="1:25" ht="19.5" x14ac:dyDescent="0.5">
      <c r="A76" s="1" t="str">
        <f t="shared" si="6"/>
        <v>269,</v>
      </c>
      <c r="B76" s="1" t="s">
        <v>480</v>
      </c>
      <c r="C76" s="1" t="s">
        <v>488</v>
      </c>
      <c r="D76" s="1" t="s">
        <v>281</v>
      </c>
      <c r="E76" s="1" t="str">
        <f ca="1">"new DateTime (" &amp; $C$1&amp;"),"</f>
        <v>new DateTime (2026,3,25,4,26,24),</v>
      </c>
      <c r="F76" s="1" t="str">
        <f>"null,"</f>
        <v>null,</v>
      </c>
      <c r="G76" s="1" t="s">
        <v>207</v>
      </c>
      <c r="H76" s="1" t="str">
        <f>"true,"</f>
        <v>true,</v>
      </c>
      <c r="I76" s="1" t="str">
        <f>"false,"</f>
        <v>false,</v>
      </c>
      <c r="J76" s="1" t="str">
        <f>"null,"</f>
        <v>null,</v>
      </c>
      <c r="K76" s="1" t="str">
        <f>"null"</f>
        <v>null</v>
      </c>
      <c r="L76" s="6"/>
      <c r="M76" s="10" t="str">
        <f>_xlfn.TEXTJOIN("=",FALSE,A$2,A76)</f>
        <v>Id=269,</v>
      </c>
      <c r="N76" s="10" t="str">
        <f>_xlfn.TEXTJOIN("=",FALSE,B$2,B76)</f>
        <v>Title="استرالیای جنوبی",</v>
      </c>
      <c r="O76" s="10" t="str">
        <f>_xlfn.TEXTJOIN("=",FALSE,C$2,C76)</f>
        <v>ParentId=10,</v>
      </c>
      <c r="P76" s="10" t="str">
        <f>_xlfn.TEXTJOIN("=",FALSE,D$2,D76)</f>
        <v>Guid=Guid.Parse("71670711-68E9-4123-B7CE-C063B3FD910C"),</v>
      </c>
      <c r="Q76" s="10" t="str">
        <f t="shared" ca="1" si="5"/>
        <v>CreatedDate=new DateTime (2026,3,25,4,26,24),</v>
      </c>
      <c r="R76" s="10" t="str">
        <f t="shared" si="5"/>
        <v>CreatedUserId=null,</v>
      </c>
      <c r="S76" s="10" t="str">
        <f t="shared" si="5"/>
        <v>Description= "Created by seeding data",</v>
      </c>
      <c r="T76" s="10" t="str">
        <f t="shared" si="4"/>
        <v>IsActive=true,</v>
      </c>
      <c r="U76" s="10" t="str">
        <f t="shared" si="4"/>
        <v>IsDeleted=false,</v>
      </c>
      <c r="V76" s="10" t="str">
        <f t="shared" si="4"/>
        <v>LastModifiedDate=null,</v>
      </c>
      <c r="W76" s="10" t="str">
        <f t="shared" si="4"/>
        <v>LastModifiedUserId=null</v>
      </c>
      <c r="X76" s="9" t="str">
        <f t="shared" ca="1" si="7"/>
        <v>Id=269,Title="استرالیای جنوبی",ParentId=10,Guid=Guid.Parse("71670711-68E9-4123-B7CE-C063B3FD910C"),CreatedDate=new DateTime (2026,3,25,4,26,24),CreatedUserId=null,Description= "Created by seeding data",IsActive=true,IsDeleted=false,LastModifiedDate=null,LastModifiedUserId=null</v>
      </c>
      <c r="Y76" s="9" t="str">
        <f t="shared" ca="1" si="8"/>
        <v>new State{Id=269,Title="استرالیای جنوبی",ParentId=10,Guid=Guid.Parse("71670711-68E9-4123-B7CE-C063B3FD910C"),CreatedDate=new DateTime (2026,3,25,4,26,24),CreatedUserId=null,Description= "Created by seeding data",IsActive=true,IsDeleted=false,LastModifiedDate=null,LastModifiedUserId=null},</v>
      </c>
    </row>
    <row r="77" spans="1:25" ht="19.5" x14ac:dyDescent="0.5">
      <c r="A77" s="1" t="str">
        <f t="shared" si="6"/>
        <v>270,</v>
      </c>
      <c r="B77" s="1" t="s">
        <v>481</v>
      </c>
      <c r="C77" s="1" t="s">
        <v>488</v>
      </c>
      <c r="D77" s="1" t="s">
        <v>282</v>
      </c>
      <c r="E77" s="1" t="str">
        <f ca="1">"new DateTime (" &amp; $C$1&amp;"),"</f>
        <v>new DateTime (2026,3,25,4,26,24),</v>
      </c>
      <c r="F77" s="1" t="str">
        <f>"null,"</f>
        <v>null,</v>
      </c>
      <c r="G77" s="1" t="s">
        <v>207</v>
      </c>
      <c r="H77" s="1" t="str">
        <f>"true,"</f>
        <v>true,</v>
      </c>
      <c r="I77" s="1" t="str">
        <f>"false,"</f>
        <v>false,</v>
      </c>
      <c r="J77" s="1" t="str">
        <f>"null,"</f>
        <v>null,</v>
      </c>
      <c r="K77" s="1" t="str">
        <f>"null"</f>
        <v>null</v>
      </c>
      <c r="L77" s="6"/>
      <c r="M77" s="10" t="str">
        <f>_xlfn.TEXTJOIN("=",FALSE,A$2,A77)</f>
        <v>Id=270,</v>
      </c>
      <c r="N77" s="10" t="str">
        <f>_xlfn.TEXTJOIN("=",FALSE,B$2,B77)</f>
        <v>Title="استرالیای غربی",</v>
      </c>
      <c r="O77" s="10" t="str">
        <f>_xlfn.TEXTJOIN("=",FALSE,C$2,C77)</f>
        <v>ParentId=10,</v>
      </c>
      <c r="P77" s="10" t="str">
        <f>_xlfn.TEXTJOIN("=",FALSE,D$2,D77)</f>
        <v>Guid=Guid.Parse("51B29A7D-31DA-4985-913A-61938AD800FB"),</v>
      </c>
      <c r="Q77" s="10" t="str">
        <f t="shared" ca="1" si="5"/>
        <v>CreatedDate=new DateTime (2026,3,25,4,26,24),</v>
      </c>
      <c r="R77" s="10" t="str">
        <f t="shared" si="5"/>
        <v>CreatedUserId=null,</v>
      </c>
      <c r="S77" s="10" t="str">
        <f t="shared" si="5"/>
        <v>Description= "Created by seeding data",</v>
      </c>
      <c r="T77" s="10" t="str">
        <f t="shared" si="4"/>
        <v>IsActive=true,</v>
      </c>
      <c r="U77" s="10" t="str">
        <f t="shared" si="4"/>
        <v>IsDeleted=false,</v>
      </c>
      <c r="V77" s="10" t="str">
        <f t="shared" si="4"/>
        <v>LastModifiedDate=null,</v>
      </c>
      <c r="W77" s="10" t="str">
        <f t="shared" si="4"/>
        <v>LastModifiedUserId=null</v>
      </c>
      <c r="X77" s="9" t="str">
        <f t="shared" ca="1" si="7"/>
        <v>Id=270,Title="استرالیای غربی",ParentId=10,Guid=Guid.Parse("51B29A7D-31DA-4985-913A-61938AD800FB"),CreatedDate=new DateTime (2026,3,25,4,26,24),CreatedUserId=null,Description= "Created by seeding data",IsActive=true,IsDeleted=false,LastModifiedDate=null,LastModifiedUserId=null</v>
      </c>
      <c r="Y77" s="9" t="str">
        <f t="shared" ca="1" si="8"/>
        <v>new State{Id=270,Title="استرالیای غربی",ParentId=10,Guid=Guid.Parse("51B29A7D-31DA-4985-913A-61938AD800FB"),CreatedDate=new DateTime (2026,3,25,4,26,24),CreatedUserId=null,Description= "Created by seeding data",IsActive=true,IsDeleted=false,LastModifiedDate=null,LastModifiedUserId=null},</v>
      </c>
    </row>
    <row r="78" spans="1:25" ht="19.5" x14ac:dyDescent="0.5">
      <c r="A78" s="1" t="str">
        <f t="shared" si="6"/>
        <v>271,</v>
      </c>
      <c r="B78" s="1" t="s">
        <v>482</v>
      </c>
      <c r="C78" s="1" t="s">
        <v>488</v>
      </c>
      <c r="D78" s="1" t="s">
        <v>283</v>
      </c>
      <c r="E78" s="1" t="str">
        <f ca="1">"new DateTime (" &amp; $C$1&amp;"),"</f>
        <v>new DateTime (2026,3,25,4,26,24),</v>
      </c>
      <c r="F78" s="1" t="str">
        <f>"null,"</f>
        <v>null,</v>
      </c>
      <c r="G78" s="1" t="s">
        <v>207</v>
      </c>
      <c r="H78" s="1" t="str">
        <f>"true,"</f>
        <v>true,</v>
      </c>
      <c r="I78" s="1" t="str">
        <f>"false,"</f>
        <v>false,</v>
      </c>
      <c r="J78" s="1" t="str">
        <f>"null,"</f>
        <v>null,</v>
      </c>
      <c r="K78" s="1" t="str">
        <f>"null"</f>
        <v>null</v>
      </c>
      <c r="L78" s="6"/>
      <c r="M78" s="10" t="str">
        <f>_xlfn.TEXTJOIN("=",FALSE,A$2,A78)</f>
        <v>Id=271,</v>
      </c>
      <c r="N78" s="10" t="str">
        <f>_xlfn.TEXTJOIN("=",FALSE,B$2,B78)</f>
        <v>Title="تاسمانی",</v>
      </c>
      <c r="O78" s="10" t="str">
        <f>_xlfn.TEXTJOIN("=",FALSE,C$2,C78)</f>
        <v>ParentId=10,</v>
      </c>
      <c r="P78" s="10" t="str">
        <f>_xlfn.TEXTJOIN("=",FALSE,D$2,D78)</f>
        <v>Guid=Guid.Parse("8907D046-60FB-4029-83E1-76FDB247A47E"),</v>
      </c>
      <c r="Q78" s="10" t="str">
        <f t="shared" ca="1" si="5"/>
        <v>CreatedDate=new DateTime (2026,3,25,4,26,24),</v>
      </c>
      <c r="R78" s="10" t="str">
        <f t="shared" si="5"/>
        <v>CreatedUserId=null,</v>
      </c>
      <c r="S78" s="10" t="str">
        <f t="shared" si="5"/>
        <v>Description= "Created by seeding data",</v>
      </c>
      <c r="T78" s="10" t="str">
        <f t="shared" si="4"/>
        <v>IsActive=true,</v>
      </c>
      <c r="U78" s="10" t="str">
        <f t="shared" si="4"/>
        <v>IsDeleted=false,</v>
      </c>
      <c r="V78" s="10" t="str">
        <f t="shared" si="4"/>
        <v>LastModifiedDate=null,</v>
      </c>
      <c r="W78" s="10" t="str">
        <f t="shared" si="4"/>
        <v>LastModifiedUserId=null</v>
      </c>
      <c r="X78" s="9" t="str">
        <f t="shared" ca="1" si="7"/>
        <v>Id=271,Title="تاسمانی",ParentId=10,Guid=Guid.Parse("8907D046-60FB-4029-83E1-76FDB247A47E"),CreatedDate=new DateTime (2026,3,25,4,26,24),CreatedUserId=null,Description= "Created by seeding data",IsActive=true,IsDeleted=false,LastModifiedDate=null,LastModifiedUserId=null</v>
      </c>
      <c r="Y78" s="9" t="str">
        <f t="shared" ca="1" si="8"/>
        <v>new State{Id=271,Title="تاسمانی",ParentId=10,Guid=Guid.Parse("8907D046-60FB-4029-83E1-76FDB247A47E"),CreatedDate=new DateTime (2026,3,25,4,26,24),CreatedUserId=null,Description= "Created by seeding data",IsActive=true,IsDeleted=false,LastModifiedDate=null,LastModifiedUserId=null},</v>
      </c>
    </row>
    <row r="79" spans="1:25" ht="19.5" x14ac:dyDescent="0.5">
      <c r="A79" s="1" t="str">
        <f t="shared" si="6"/>
        <v>272,</v>
      </c>
      <c r="B79" s="1" t="s">
        <v>483</v>
      </c>
      <c r="C79" s="1" t="s">
        <v>488</v>
      </c>
      <c r="D79" s="1" t="s">
        <v>284</v>
      </c>
      <c r="E79" s="1" t="str">
        <f ca="1">"new DateTime (" &amp; $C$1&amp;"),"</f>
        <v>new DateTime (2026,3,25,4,26,24),</v>
      </c>
      <c r="F79" s="1" t="str">
        <f>"null,"</f>
        <v>null,</v>
      </c>
      <c r="G79" s="1" t="s">
        <v>207</v>
      </c>
      <c r="H79" s="1" t="str">
        <f>"true,"</f>
        <v>true,</v>
      </c>
      <c r="I79" s="1" t="str">
        <f>"false,"</f>
        <v>false,</v>
      </c>
      <c r="J79" s="1" t="str">
        <f>"null,"</f>
        <v>null,</v>
      </c>
      <c r="K79" s="1" t="str">
        <f>"null"</f>
        <v>null</v>
      </c>
      <c r="L79" s="6"/>
      <c r="M79" s="10" t="str">
        <f>_xlfn.TEXTJOIN("=",FALSE,A$2,A79)</f>
        <v>Id=272,</v>
      </c>
      <c r="N79" s="10" t="str">
        <f>_xlfn.TEXTJOIN("=",FALSE,B$2,B79)</f>
        <v>Title="قلمرو پایتخت استرالیا",</v>
      </c>
      <c r="O79" s="10" t="str">
        <f>_xlfn.TEXTJOIN("=",FALSE,C$2,C79)</f>
        <v>ParentId=10,</v>
      </c>
      <c r="P79" s="10" t="str">
        <f>_xlfn.TEXTJOIN("=",FALSE,D$2,D79)</f>
        <v>Guid=Guid.Parse("8BBA3AB9-94B4-4D05-B1A3-C8FE0EC31FCA"),</v>
      </c>
      <c r="Q79" s="10" t="str">
        <f t="shared" ca="1" si="5"/>
        <v>CreatedDate=new DateTime (2026,3,25,4,26,24),</v>
      </c>
      <c r="R79" s="10" t="str">
        <f t="shared" si="5"/>
        <v>CreatedUserId=null,</v>
      </c>
      <c r="S79" s="10" t="str">
        <f t="shared" si="5"/>
        <v>Description= "Created by seeding data",</v>
      </c>
      <c r="T79" s="10" t="str">
        <f t="shared" si="4"/>
        <v>IsActive=true,</v>
      </c>
      <c r="U79" s="10" t="str">
        <f t="shared" si="4"/>
        <v>IsDeleted=false,</v>
      </c>
      <c r="V79" s="10" t="str">
        <f t="shared" si="4"/>
        <v>LastModifiedDate=null,</v>
      </c>
      <c r="W79" s="10" t="str">
        <f t="shared" si="4"/>
        <v>LastModifiedUserId=null</v>
      </c>
      <c r="X79" s="9" t="str">
        <f t="shared" ca="1" si="7"/>
        <v>Id=272,Title="قلمرو پایتخت استرالیا",ParentId=10,Guid=Guid.Parse("8BBA3AB9-94B4-4D05-B1A3-C8FE0EC31FCA"),CreatedDate=new DateTime (2026,3,25,4,26,24),CreatedUserId=null,Description= "Created by seeding data",IsActive=true,IsDeleted=false,LastModifiedDate=null,LastModifiedUserId=null</v>
      </c>
      <c r="Y79" s="9" t="str">
        <f t="shared" ca="1" si="8"/>
        <v>new State{Id=272,Title="قلمرو پایتخت استرالیا",ParentId=10,Guid=Guid.Parse("8BBA3AB9-94B4-4D05-B1A3-C8FE0EC31FCA"),CreatedDate=new DateTime (2026,3,25,4,26,24),CreatedUserId=null,Description= "Created by seeding data",IsActive=true,IsDeleted=false,LastModifiedDate=null,LastModifiedUserId=null},</v>
      </c>
    </row>
    <row r="80" spans="1:25" ht="19.5" x14ac:dyDescent="0.5">
      <c r="A80" s="1" t="str">
        <f t="shared" si="6"/>
        <v>273,</v>
      </c>
      <c r="B80" s="1" t="s">
        <v>484</v>
      </c>
      <c r="C80" s="1" t="s">
        <v>488</v>
      </c>
      <c r="D80" s="1" t="s">
        <v>285</v>
      </c>
      <c r="E80" s="1" t="str">
        <f ca="1">"new DateTime (" &amp; $C$1&amp;"),"</f>
        <v>new DateTime (2026,3,25,4,26,24),</v>
      </c>
      <c r="F80" s="1" t="str">
        <f>"null,"</f>
        <v>null,</v>
      </c>
      <c r="G80" s="1" t="s">
        <v>207</v>
      </c>
      <c r="H80" s="1" t="str">
        <f>"true,"</f>
        <v>true,</v>
      </c>
      <c r="I80" s="1" t="str">
        <f>"false,"</f>
        <v>false,</v>
      </c>
      <c r="J80" s="1" t="str">
        <f>"null,"</f>
        <v>null,</v>
      </c>
      <c r="K80" s="1" t="str">
        <f>"null"</f>
        <v>null</v>
      </c>
      <c r="L80" s="6"/>
      <c r="M80" s="10" t="str">
        <f>_xlfn.TEXTJOIN("=",FALSE,A$2,A80)</f>
        <v>Id=273,</v>
      </c>
      <c r="N80" s="10" t="str">
        <f>_xlfn.TEXTJOIN("=",FALSE,B$2,B80)</f>
        <v>Title="قلمرو شمالی",</v>
      </c>
      <c r="O80" s="10" t="str">
        <f>_xlfn.TEXTJOIN("=",FALSE,C$2,C80)</f>
        <v>ParentId=10,</v>
      </c>
      <c r="P80" s="10" t="str">
        <f>_xlfn.TEXTJOIN("=",FALSE,D$2,D80)</f>
        <v>Guid=Guid.Parse("9454E54F-8B7F-4A85-9156-1ED7013D6554"),</v>
      </c>
      <c r="Q80" s="10" t="str">
        <f t="shared" ca="1" si="5"/>
        <v>CreatedDate=new DateTime (2026,3,25,4,26,24),</v>
      </c>
      <c r="R80" s="10" t="str">
        <f t="shared" si="5"/>
        <v>CreatedUserId=null,</v>
      </c>
      <c r="S80" s="10" t="str">
        <f t="shared" si="5"/>
        <v>Description= "Created by seeding data",</v>
      </c>
      <c r="T80" s="10" t="str">
        <f t="shared" si="4"/>
        <v>IsActive=true,</v>
      </c>
      <c r="U80" s="10" t="str">
        <f t="shared" si="4"/>
        <v>IsDeleted=false,</v>
      </c>
      <c r="V80" s="10" t="str">
        <f t="shared" si="4"/>
        <v>LastModifiedDate=null,</v>
      </c>
      <c r="W80" s="10" t="str">
        <f t="shared" si="4"/>
        <v>LastModifiedUserId=null</v>
      </c>
      <c r="X80" s="9" t="str">
        <f t="shared" ca="1" si="7"/>
        <v>Id=273,Title="قلمرو شمالی",ParentId=10,Guid=Guid.Parse("9454E54F-8B7F-4A85-9156-1ED7013D6554"),CreatedDate=new DateTime (2026,3,25,4,26,24),CreatedUserId=null,Description= "Created by seeding data",IsActive=true,IsDeleted=false,LastModifiedDate=null,LastModifiedUserId=null</v>
      </c>
      <c r="Y80" s="9" t="str">
        <f t="shared" ca="1" si="8"/>
        <v>new State{Id=273,Title="قلمرو شمالی",ParentId=10,Guid=Guid.Parse("9454E54F-8B7F-4A85-9156-1ED7013D6554"),CreatedDate=new DateTime (2026,3,25,4,26,24),CreatedUserId=null,Description= "Created by seeding data",IsActive=true,IsDeleted=false,LastModifiedDate=null,LastModifiedUserId=null},</v>
      </c>
    </row>
    <row r="81" spans="1:25" ht="19.5" x14ac:dyDescent="0.5">
      <c r="A81" s="1" t="str">
        <f t="shared" si="6"/>
        <v>274,</v>
      </c>
      <c r="B81" s="1" t="s">
        <v>485</v>
      </c>
      <c r="C81" s="1" t="s">
        <v>488</v>
      </c>
      <c r="D81" s="1" t="s">
        <v>286</v>
      </c>
      <c r="E81" s="1" t="str">
        <f ca="1">"new DateTime (" &amp; $C$1&amp;"),"</f>
        <v>new DateTime (2026,3,25,4,26,24),</v>
      </c>
      <c r="F81" s="1" t="str">
        <f>"null,"</f>
        <v>null,</v>
      </c>
      <c r="G81" s="1" t="s">
        <v>207</v>
      </c>
      <c r="H81" s="1" t="str">
        <f>"true,"</f>
        <v>true,</v>
      </c>
      <c r="I81" s="1" t="str">
        <f>"false,"</f>
        <v>false,</v>
      </c>
      <c r="J81" s="1" t="str">
        <f>"null,"</f>
        <v>null,</v>
      </c>
      <c r="K81" s="1" t="str">
        <f>"null"</f>
        <v>null</v>
      </c>
      <c r="L81" s="6"/>
      <c r="M81" s="10" t="str">
        <f>_xlfn.TEXTJOIN("=",FALSE,A$2,A81)</f>
        <v>Id=274,</v>
      </c>
      <c r="N81" s="10" t="str">
        <f>_xlfn.TEXTJOIN("=",FALSE,B$2,B81)</f>
        <v>Title="کوئینزلند",</v>
      </c>
      <c r="O81" s="10" t="str">
        <f>_xlfn.TEXTJOIN("=",FALSE,C$2,C81)</f>
        <v>ParentId=10,</v>
      </c>
      <c r="P81" s="10" t="str">
        <f>_xlfn.TEXTJOIN("=",FALSE,D$2,D81)</f>
        <v>Guid=Guid.Parse("534A678B-4DE4-46F6-B2EA-E54D4C1C4D77"),</v>
      </c>
      <c r="Q81" s="10" t="str">
        <f t="shared" ca="1" si="5"/>
        <v>CreatedDate=new DateTime (2026,3,25,4,26,24),</v>
      </c>
      <c r="R81" s="10" t="str">
        <f t="shared" si="5"/>
        <v>CreatedUserId=null,</v>
      </c>
      <c r="S81" s="10" t="str">
        <f t="shared" si="5"/>
        <v>Description= "Created by seeding data",</v>
      </c>
      <c r="T81" s="10" t="str">
        <f t="shared" si="4"/>
        <v>IsActive=true,</v>
      </c>
      <c r="U81" s="10" t="str">
        <f t="shared" si="4"/>
        <v>IsDeleted=false,</v>
      </c>
      <c r="V81" s="10" t="str">
        <f t="shared" si="4"/>
        <v>LastModifiedDate=null,</v>
      </c>
      <c r="W81" s="10" t="str">
        <f t="shared" si="4"/>
        <v>LastModifiedUserId=null</v>
      </c>
      <c r="X81" s="9" t="str">
        <f t="shared" ca="1" si="7"/>
        <v>Id=274,Title="کوئینزلند",ParentId=10,Guid=Guid.Parse("534A678B-4DE4-46F6-B2EA-E54D4C1C4D77"),CreatedDate=new DateTime (2026,3,25,4,26,24),CreatedUserId=null,Description= "Created by seeding data",IsActive=true,IsDeleted=false,LastModifiedDate=null,LastModifiedUserId=null</v>
      </c>
      <c r="Y81" s="9" t="str">
        <f t="shared" ca="1" si="8"/>
        <v>new State{Id=274,Title="کوئینزلند",ParentId=10,Guid=Guid.Parse("534A678B-4DE4-46F6-B2EA-E54D4C1C4D77"),CreatedDate=new DateTime (2026,3,25,4,26,24),CreatedUserId=null,Description= "Created by seeding data",IsActive=true,IsDeleted=false,LastModifiedDate=null,LastModifiedUserId=null},</v>
      </c>
    </row>
    <row r="82" spans="1:25" ht="19.5" x14ac:dyDescent="0.5">
      <c r="A82" s="1" t="str">
        <f t="shared" si="6"/>
        <v>275,</v>
      </c>
      <c r="B82" s="1" t="s">
        <v>486</v>
      </c>
      <c r="C82" s="1" t="s">
        <v>488</v>
      </c>
      <c r="D82" s="1" t="s">
        <v>287</v>
      </c>
      <c r="E82" s="1" t="str">
        <f ca="1">"new DateTime (" &amp; $C$1&amp;"),"</f>
        <v>new DateTime (2026,3,25,4,26,24),</v>
      </c>
      <c r="F82" s="1" t="str">
        <f>"null,"</f>
        <v>null,</v>
      </c>
      <c r="G82" s="1" t="s">
        <v>207</v>
      </c>
      <c r="H82" s="1" t="str">
        <f>"true,"</f>
        <v>true,</v>
      </c>
      <c r="I82" s="1" t="str">
        <f>"false,"</f>
        <v>false,</v>
      </c>
      <c r="J82" s="1" t="str">
        <f>"null,"</f>
        <v>null,</v>
      </c>
      <c r="K82" s="1" t="str">
        <f>"null"</f>
        <v>null</v>
      </c>
      <c r="L82" s="6"/>
      <c r="M82" s="10" t="str">
        <f>_xlfn.TEXTJOIN("=",FALSE,A$2,A82)</f>
        <v>Id=275,</v>
      </c>
      <c r="N82" s="10" t="str">
        <f>_xlfn.TEXTJOIN("=",FALSE,B$2,B82)</f>
        <v>Title="نیو ساوت ولز",</v>
      </c>
      <c r="O82" s="10" t="str">
        <f>_xlfn.TEXTJOIN("=",FALSE,C$2,C82)</f>
        <v>ParentId=10,</v>
      </c>
      <c r="P82" s="10" t="str">
        <f>_xlfn.TEXTJOIN("=",FALSE,D$2,D82)</f>
        <v>Guid=Guid.Parse("E8926DA2-654D-4D6B-B0E2-9F680D3C12AE"),</v>
      </c>
      <c r="Q82" s="10" t="str">
        <f t="shared" ca="1" si="5"/>
        <v>CreatedDate=new DateTime (2026,3,25,4,26,24),</v>
      </c>
      <c r="R82" s="10" t="str">
        <f t="shared" si="5"/>
        <v>CreatedUserId=null,</v>
      </c>
      <c r="S82" s="10" t="str">
        <f t="shared" si="5"/>
        <v>Description= "Created by seeding data",</v>
      </c>
      <c r="T82" s="10" t="str">
        <f t="shared" si="4"/>
        <v>IsActive=true,</v>
      </c>
      <c r="U82" s="10" t="str">
        <f t="shared" si="4"/>
        <v>IsDeleted=false,</v>
      </c>
      <c r="V82" s="10" t="str">
        <f t="shared" si="4"/>
        <v>LastModifiedDate=null,</v>
      </c>
      <c r="W82" s="10" t="str">
        <f t="shared" si="4"/>
        <v>LastModifiedUserId=null</v>
      </c>
      <c r="X82" s="9" t="str">
        <f t="shared" ca="1" si="7"/>
        <v>Id=275,Title="نیو ساوت ولز",ParentId=10,Guid=Guid.Parse("E8926DA2-654D-4D6B-B0E2-9F680D3C12AE"),CreatedDate=new DateTime (2026,3,25,4,26,24),CreatedUserId=null,Description= "Created by seeding data",IsActive=true,IsDeleted=false,LastModifiedDate=null,LastModifiedUserId=null</v>
      </c>
      <c r="Y82" s="9" t="str">
        <f t="shared" ca="1" si="8"/>
        <v>new State{Id=275,Title="نیو ساوت ولز",ParentId=10,Guid=Guid.Parse("E8926DA2-654D-4D6B-B0E2-9F680D3C12AE"),CreatedDate=new DateTime (2026,3,25,4,26,24),CreatedUserId=null,Description= "Created by seeding data",IsActive=true,IsDeleted=false,LastModifiedDate=null,LastModifiedUserId=null},</v>
      </c>
    </row>
    <row r="83" spans="1:25" ht="19.5" x14ac:dyDescent="0.5">
      <c r="A83" s="1" t="str">
        <f t="shared" si="6"/>
        <v>276,</v>
      </c>
      <c r="B83" s="1" t="s">
        <v>487</v>
      </c>
      <c r="C83" s="1" t="s">
        <v>488</v>
      </c>
      <c r="D83" s="1" t="s">
        <v>288</v>
      </c>
      <c r="E83" s="1" t="str">
        <f ca="1">"new DateTime (" &amp; $C$1&amp;"),"</f>
        <v>new DateTime (2026,3,25,4,26,24),</v>
      </c>
      <c r="F83" s="1" t="str">
        <f>"null,"</f>
        <v>null,</v>
      </c>
      <c r="G83" s="1" t="s">
        <v>207</v>
      </c>
      <c r="H83" s="1" t="str">
        <f>"true,"</f>
        <v>true,</v>
      </c>
      <c r="I83" s="1" t="str">
        <f>"false,"</f>
        <v>false,</v>
      </c>
      <c r="J83" s="1" t="str">
        <f>"null,"</f>
        <v>null,</v>
      </c>
      <c r="K83" s="1" t="str">
        <f>"null"</f>
        <v>null</v>
      </c>
      <c r="L83" s="6"/>
      <c r="M83" s="10" t="str">
        <f>_xlfn.TEXTJOIN("=",FALSE,A$2,A83)</f>
        <v>Id=276,</v>
      </c>
      <c r="N83" s="10" t="str">
        <f>_xlfn.TEXTJOIN("=",FALSE,B$2,B83)</f>
        <v>Title="ویکتوریا",</v>
      </c>
      <c r="O83" s="10" t="str">
        <f>_xlfn.TEXTJOIN("=",FALSE,C$2,C83)</f>
        <v>ParentId=10,</v>
      </c>
      <c r="P83" s="10" t="str">
        <f>_xlfn.TEXTJOIN("=",FALSE,D$2,D83)</f>
        <v>Guid=Guid.Parse("944C7C9F-8A26-444F-8A7E-FACF94051EAC"),</v>
      </c>
      <c r="Q83" s="10" t="str">
        <f t="shared" ca="1" si="5"/>
        <v>CreatedDate=new DateTime (2026,3,25,4,26,24),</v>
      </c>
      <c r="R83" s="10" t="str">
        <f t="shared" si="5"/>
        <v>CreatedUserId=null,</v>
      </c>
      <c r="S83" s="10" t="str">
        <f t="shared" si="5"/>
        <v>Description= "Created by seeding data",</v>
      </c>
      <c r="T83" s="10" t="str">
        <f t="shared" si="4"/>
        <v>IsActive=true,</v>
      </c>
      <c r="U83" s="10" t="str">
        <f t="shared" si="4"/>
        <v>IsDeleted=false,</v>
      </c>
      <c r="V83" s="10" t="str">
        <f t="shared" si="4"/>
        <v>LastModifiedDate=null,</v>
      </c>
      <c r="W83" s="10" t="str">
        <f t="shared" si="4"/>
        <v>LastModifiedUserId=null</v>
      </c>
      <c r="X83" s="9" t="str">
        <f t="shared" ca="1" si="7"/>
        <v>Id=276,Title="ویکتوریا",ParentId=10,Guid=Guid.Parse("944C7C9F-8A26-444F-8A7E-FACF94051EAC"),CreatedDate=new DateTime (2026,3,25,4,26,24),CreatedUserId=null,Description= "Created by seeding data",IsActive=true,IsDeleted=false,LastModifiedDate=null,LastModifiedUserId=null</v>
      </c>
      <c r="Y83" s="9" t="str">
        <f t="shared" ca="1" si="8"/>
        <v>new State{Id=276,Title="ویکتوریا",ParentId=10,Guid=Guid.Parse("944C7C9F-8A26-444F-8A7E-FACF94051EAC"),CreatedDate=new DateTime (2026,3,25,4,26,24),CreatedUserId=null,Description= "Created by seeding data",IsActive=true,IsDeleted=false,LastModifiedDate=null,LastModifiedUserId=null},</v>
      </c>
    </row>
    <row r="84" spans="1:25" ht="19.5" x14ac:dyDescent="0.5"/>
    <row r="85" spans="1:25" ht="19.5" x14ac:dyDescent="0.5"/>
    <row r="86" spans="1:25" ht="19.5" x14ac:dyDescent="0.5"/>
    <row r="87" spans="1:25" ht="19.5" x14ac:dyDescent="0.5"/>
    <row r="88" spans="1:25" ht="19.5" x14ac:dyDescent="0.5"/>
    <row r="89" spans="1:25" ht="19.5" x14ac:dyDescent="0.5"/>
    <row r="90" spans="1:25" ht="19.5" x14ac:dyDescent="0.5"/>
    <row r="91" spans="1:25" ht="19.5" x14ac:dyDescent="0.5"/>
    <row r="92" spans="1:25" ht="19.5" x14ac:dyDescent="0.5"/>
    <row r="93" spans="1:25" ht="19.5" x14ac:dyDescent="0.5"/>
    <row r="94" spans="1:25" ht="19.5" x14ac:dyDescent="0.5"/>
    <row r="95" spans="1:25" ht="19.5" x14ac:dyDescent="0.5"/>
    <row r="96" spans="1:25" ht="19.5" x14ac:dyDescent="0.5"/>
    <row r="97" ht="19.5" x14ac:dyDescent="0.5"/>
    <row r="98" ht="19.5" x14ac:dyDescent="0.5"/>
    <row r="99" ht="19.5" x14ac:dyDescent="0.5"/>
    <row r="100" ht="19.5" x14ac:dyDescent="0.5"/>
    <row r="101" ht="19.5" x14ac:dyDescent="0.5"/>
    <row r="102" ht="19.5" x14ac:dyDescent="0.5"/>
    <row r="103" ht="19.5" x14ac:dyDescent="0.5"/>
    <row r="104" ht="19.5" x14ac:dyDescent="0.5"/>
    <row r="105" ht="19.5" x14ac:dyDescent="0.5"/>
    <row r="106" ht="19.5" x14ac:dyDescent="0.5"/>
    <row r="107" ht="19.5" x14ac:dyDescent="0.5"/>
    <row r="108" ht="19.5" x14ac:dyDescent="0.5"/>
    <row r="109" ht="19.5" x14ac:dyDescent="0.5"/>
    <row r="110" ht="19.5" x14ac:dyDescent="0.5"/>
    <row r="111" ht="19.5" x14ac:dyDescent="0.5"/>
    <row r="112" ht="19.5" x14ac:dyDescent="0.5"/>
    <row r="113" ht="19.5" x14ac:dyDescent="0.5"/>
    <row r="114" ht="19.5" x14ac:dyDescent="0.5"/>
    <row r="115" ht="19.5" x14ac:dyDescent="0.5"/>
    <row r="116" ht="19.5" x14ac:dyDescent="0.5"/>
    <row r="117" ht="19.5" x14ac:dyDescent="0.5"/>
    <row r="118" ht="19.5" x14ac:dyDescent="0.5"/>
    <row r="119" ht="19.5" x14ac:dyDescent="0.5"/>
    <row r="120" ht="19.5" x14ac:dyDescent="0.5"/>
    <row r="121" ht="19.5" x14ac:dyDescent="0.5"/>
    <row r="122" ht="19.5" x14ac:dyDescent="0.5"/>
    <row r="123" ht="19.5" x14ac:dyDescent="0.5"/>
    <row r="124" ht="19.5" x14ac:dyDescent="0.5"/>
    <row r="125" ht="19.5" x14ac:dyDescent="0.5"/>
    <row r="126" ht="19.5" x14ac:dyDescent="0.5"/>
    <row r="127" ht="19.5" x14ac:dyDescent="0.5"/>
    <row r="128" ht="19.5" x14ac:dyDescent="0.5"/>
    <row r="129" ht="19.5" x14ac:dyDescent="0.5"/>
    <row r="130" ht="19.5" x14ac:dyDescent="0.5"/>
    <row r="131" ht="19.5" x14ac:dyDescent="0.5"/>
    <row r="132" ht="19.5" x14ac:dyDescent="0.5"/>
    <row r="133" ht="19.5" x14ac:dyDescent="0.5"/>
    <row r="134" ht="19.5" x14ac:dyDescent="0.5"/>
    <row r="135" ht="19.5" x14ac:dyDescent="0.5"/>
    <row r="136" ht="19.5" x14ac:dyDescent="0.5"/>
    <row r="137" ht="19.5" x14ac:dyDescent="0.5"/>
    <row r="138" ht="19.5" x14ac:dyDescent="0.5"/>
    <row r="139" ht="19.5" x14ac:dyDescent="0.5"/>
    <row r="140" ht="19.5" x14ac:dyDescent="0.5"/>
    <row r="141" ht="19.5" x14ac:dyDescent="0.5"/>
    <row r="142" ht="19.5" x14ac:dyDescent="0.5"/>
    <row r="143" ht="19.5" x14ac:dyDescent="0.5"/>
    <row r="144" ht="19.5" x14ac:dyDescent="0.5"/>
    <row r="145" ht="19.5" x14ac:dyDescent="0.5"/>
    <row r="146" ht="19.5" x14ac:dyDescent="0.5"/>
    <row r="147" ht="19.5" x14ac:dyDescent="0.5"/>
    <row r="148" ht="19.5" x14ac:dyDescent="0.5"/>
    <row r="149" ht="19.5" x14ac:dyDescent="0.5"/>
    <row r="150" ht="19.5" x14ac:dyDescent="0.5"/>
    <row r="151" ht="19.5" x14ac:dyDescent="0.5"/>
    <row r="152" ht="19.5" x14ac:dyDescent="0.5"/>
    <row r="153" ht="19.5" x14ac:dyDescent="0.5"/>
    <row r="154" ht="19.5" x14ac:dyDescent="0.5"/>
    <row r="155" ht="19.5" x14ac:dyDescent="0.5"/>
    <row r="156" ht="19.5" x14ac:dyDescent="0.5"/>
    <row r="157" ht="19.5" x14ac:dyDescent="0.5"/>
    <row r="158" ht="19.5" x14ac:dyDescent="0.5"/>
    <row r="159" ht="19.5" x14ac:dyDescent="0.5"/>
    <row r="160" ht="19.5" x14ac:dyDescent="0.5"/>
    <row r="161" ht="19.5" x14ac:dyDescent="0.5"/>
    <row r="162" ht="19.5" x14ac:dyDescent="0.5"/>
    <row r="163" ht="19.5" x14ac:dyDescent="0.5"/>
    <row r="164" ht="19.5" x14ac:dyDescent="0.5"/>
    <row r="165" ht="19.5" x14ac:dyDescent="0.5"/>
    <row r="166" ht="19.5" x14ac:dyDescent="0.5"/>
    <row r="167" ht="19.5" x14ac:dyDescent="0.5"/>
    <row r="168" ht="19.5" x14ac:dyDescent="0.5"/>
    <row r="169" ht="19.5" x14ac:dyDescent="0.5"/>
    <row r="170" ht="19.5" x14ac:dyDescent="0.5"/>
    <row r="171" ht="19.5" x14ac:dyDescent="0.5"/>
    <row r="172" ht="19.5" x14ac:dyDescent="0.5"/>
    <row r="173" ht="19.5" x14ac:dyDescent="0.5"/>
    <row r="174" ht="19.5" x14ac:dyDescent="0.5"/>
    <row r="175" ht="19.5" x14ac:dyDescent="0.5"/>
    <row r="176" ht="19.5" x14ac:dyDescent="0.5"/>
    <row r="177" ht="19.5" x14ac:dyDescent="0.5"/>
    <row r="178" ht="19.5" x14ac:dyDescent="0.5"/>
    <row r="179" ht="19.5" x14ac:dyDescent="0.5"/>
  </sheetData>
  <sortState xmlns:xlrd2="http://schemas.microsoft.com/office/spreadsheetml/2017/richdata2" ref="B3:B83">
    <sortCondition ref="B3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State.Country</vt:lpstr>
      <vt:lpstr>State.City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Samiee</dc:creator>
  <cp:lastModifiedBy>Mohsen Samiee</cp:lastModifiedBy>
  <dcterms:created xsi:type="dcterms:W3CDTF">2026-03-24T23:58:43Z</dcterms:created>
  <dcterms:modified xsi:type="dcterms:W3CDTF">2026-03-25T00:56:24Z</dcterms:modified>
</cp:coreProperties>
</file>